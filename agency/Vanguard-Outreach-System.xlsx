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ily KPIs" sheetId="2" state="visible" r:id="rId2"/>
    <sheet name="Daily Log" sheetId="3" state="visible" r:id="rId3"/>
    <sheet name="Funnel Math" sheetId="4" state="visible" r:id="rId4"/>
    <sheet name="Lead Tracker" sheetId="5" state="visible" r:id="rId5"/>
    <sheet name="Reply Playbook" sheetId="6" state="visible" r:id="rId6"/>
    <sheet name="Templates" sheetId="7" state="visible" r:id="rId7"/>
    <sheet name="Sequences" sheetId="8" state="visible" r:id="rId8"/>
    <sheet name="Daily Routine" sheetId="9" state="visible" r:id="rId9"/>
    <sheet name="Targets &amp; Sources" sheetId="10" state="visible" r:id="rId10"/>
    <sheet name="Automations" sheetId="11" state="visible" r:id="rId11"/>
    <sheet name="Rules &amp; Limits" sheetId="12" state="visible" r:id="rId12"/>
    <sheet name="Lists" sheetId="13" state="hidden" r:id="rId13"/>
  </sheets>
  <definedNames>
    <definedName name="_xlnm._FilterDatabase" localSheetId="4" hidden="1">'Lead Tracker'!$A$4:$Q$505</definedName>
  </definedNames>
  <calcPr calcId="124519" fullCalcOnLoad="1"/>
</workbook>
</file>

<file path=xl/styles.xml><?xml version="1.0" encoding="utf-8"?>
<styleSheet xmlns="http://schemas.openxmlformats.org/spreadsheetml/2006/main">
  <numFmts count="8">
    <numFmt numFmtId="164" formatCode="yyyy-mm-dd"/>
    <numFmt numFmtId="165" formatCode="ddd d mmm yyyy"/>
    <numFmt numFmtId="166" formatCode="ddd d mmm"/>
    <numFmt numFmtId="167" formatCode="0.0%"/>
    <numFmt numFmtId="168" formatCode="#,##0.0"/>
    <numFmt numFmtId="169" formatCode="$#,##0"/>
    <numFmt numFmtId="170" formatCode="0.0"/>
    <numFmt numFmtId="171" formatCode="d mmm yy"/>
  </numFmts>
  <fonts count="8">
    <font>
      <name val="Calibri"/>
      <family val="2"/>
      <color theme="1"/>
      <sz val="11"/>
      <scheme val="minor"/>
    </font>
    <font>
      <name val="Arial"/>
      <b val="1"/>
      <color rgb="001F2328"/>
      <sz val="16"/>
    </font>
    <font>
      <name val="Arial"/>
      <i val="1"/>
      <color rgb="005B6168"/>
      <sz val="10"/>
    </font>
    <font>
      <name val="Arial"/>
      <b val="1"/>
      <color rgb="001F2328"/>
      <sz val="10"/>
    </font>
    <font>
      <name val="Arial"/>
      <color rgb="001F2328"/>
      <sz val="10"/>
    </font>
    <font>
      <name val="Arial"/>
      <color rgb="000000FF"/>
      <sz val="10"/>
    </font>
    <font>
      <name val="Arial"/>
      <b val="1"/>
      <color rgb="000000FF"/>
      <sz val="10"/>
    </font>
    <font>
      <name val="Arial"/>
      <b val="1"/>
      <color rgb="00FFFFFF"/>
      <sz val="10"/>
    </font>
  </fonts>
  <fills count="5">
    <fill>
      <patternFill/>
    </fill>
    <fill>
      <patternFill patternType="gray125"/>
    </fill>
    <fill>
      <patternFill patternType="solid">
        <fgColor rgb="00FFF2B3"/>
      </patternFill>
    </fill>
    <fill>
      <patternFill patternType="solid">
        <fgColor rgb="00EEF1F4"/>
      </patternFill>
    </fill>
    <fill>
      <patternFill patternType="solid">
        <fgColor rgb="00111418"/>
      </patternFill>
    </fill>
  </fills>
  <borders count="2">
    <border>
      <left/>
      <right/>
      <top/>
      <bottom/>
      <diagonal/>
    </border>
    <border>
      <left style="thin">
        <color rgb="00D0D4D9"/>
      </left>
      <right style="thin">
        <color rgb="00D0D4D9"/>
      </right>
      <top style="thin">
        <color rgb="00D0D4D9"/>
      </top>
      <bottom style="thin">
        <color rgb="00D0D4D9"/>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0" pivotButton="0" quotePrefix="0" xfId="0"/>
    <xf numFmtId="0" fontId="2" fillId="3" borderId="0" pivotButton="0" quotePrefix="0" xfId="0"/>
    <xf numFmtId="165" fontId="6" fillId="2" borderId="0" pivotButton="0" quotePrefix="0" xfId="0"/>
    <xf numFmtId="0" fontId="7" fillId="4" borderId="1" applyAlignment="1" pivotButton="0" quotePrefix="0" xfId="0">
      <alignment vertical="center" wrapText="1"/>
    </xf>
    <xf numFmtId="0" fontId="4" fillId="0" borderId="1" applyAlignment="1" pivotButton="0" quotePrefix="0" xfId="0">
      <alignment vertical="top" wrapText="1"/>
    </xf>
    <xf numFmtId="0" fontId="5" fillId="2" borderId="1" applyAlignment="1" pivotButton="0" quotePrefix="0" xfId="0">
      <alignment vertical="top" wrapText="1"/>
    </xf>
    <xf numFmtId="9" fontId="4" fillId="0" borderId="1" applyAlignment="1" pivotButton="0" quotePrefix="0" xfId="0">
      <alignment vertical="top" wrapText="1"/>
    </xf>
    <xf numFmtId="0" fontId="3" fillId="0" borderId="1" applyAlignment="1" pivotButton="0" quotePrefix="0" xfId="0">
      <alignment vertical="top" wrapText="1"/>
    </xf>
    <xf numFmtId="0" fontId="2" fillId="3" borderId="1" pivotButton="0" quotePrefix="0" xfId="0"/>
    <xf numFmtId="9" fontId="2" fillId="3" borderId="1" pivotButton="0" quotePrefix="0" xfId="0"/>
    <xf numFmtId="166" fontId="4" fillId="0" borderId="1" pivotButton="0" quotePrefix="0" xfId="0"/>
    <xf numFmtId="0" fontId="5" fillId="2" borderId="1" pivotButton="0" quotePrefix="0" xfId="0"/>
    <xf numFmtId="0" fontId="4" fillId="0" borderId="1" pivotButton="0" quotePrefix="0" xfId="0"/>
    <xf numFmtId="9" fontId="4" fillId="0" borderId="1" pivotButton="0" quotePrefix="0" xfId="0"/>
    <xf numFmtId="0" fontId="0" fillId="2" borderId="1" pivotButton="0" quotePrefix="0" xfId="0"/>
    <xf numFmtId="0" fontId="3" fillId="0" borderId="1" pivotButton="0" quotePrefix="0" xfId="0"/>
    <xf numFmtId="9" fontId="3" fillId="0" borderId="0" pivotButton="0" quotePrefix="0" xfId="0"/>
    <xf numFmtId="168" fontId="4" fillId="0" borderId="1" applyAlignment="1" pivotButton="0" quotePrefix="0" xfId="0">
      <alignment vertical="top" wrapText="1"/>
    </xf>
    <xf numFmtId="167" fontId="5" fillId="2" borderId="1" applyAlignment="1" pivotButton="0" quotePrefix="0" xfId="0">
      <alignment vertical="top" wrapText="1"/>
    </xf>
    <xf numFmtId="9" fontId="5" fillId="2" borderId="1" applyAlignment="1" pivotButton="0" quotePrefix="0" xfId="0">
      <alignment vertical="top" wrapText="1"/>
    </xf>
    <xf numFmtId="169" fontId="5" fillId="2" borderId="1" applyAlignment="1" pivotButton="0" quotePrefix="0" xfId="0">
      <alignment vertical="top" wrapText="1"/>
    </xf>
    <xf numFmtId="170" fontId="4" fillId="0" borderId="1" applyAlignment="1" pivotButton="0" quotePrefix="0" xfId="0">
      <alignment vertical="top" wrapText="1"/>
    </xf>
    <xf numFmtId="169" fontId="4" fillId="0" borderId="1" applyAlignment="1" pivotButton="0" quotePrefix="0" xfId="0">
      <alignment vertical="top" wrapText="1"/>
    </xf>
    <xf numFmtId="171" fontId="2" fillId="3" borderId="1" applyAlignment="1" pivotButton="0" quotePrefix="0" xfId="0">
      <alignment vertical="top" wrapText="1"/>
    </xf>
    <xf numFmtId="0" fontId="2" fillId="3" borderId="1" applyAlignment="1" pivotButton="0" quotePrefix="0" xfId="0">
      <alignment vertical="top" wrapText="1"/>
    </xf>
    <xf numFmtId="171" fontId="5" fillId="0" borderId="1" pivotButton="0" quotePrefix="0" xfId="0"/>
    <xf numFmtId="0" fontId="5" fillId="0" borderId="1" pivotButton="0" quotePrefix="0" xfId="0"/>
    <xf numFmtId="0" fontId="4" fillId="0" borderId="0" pivotButton="0" quotePrefix="0" xfId="0"/>
  </cellXfs>
  <cellStyles count="1">
    <cellStyle name="Normal" xfId="0" builtinId="0" hidden="0"/>
  </cellStyles>
  <dxfs count="3">
    <dxf>
      <fill>
        <patternFill patternType="solid">
          <fgColor rgb="00CDEBC4"/>
        </patternFill>
      </fill>
    </dxf>
    <dxf>
      <fill>
        <patternFill patternType="solid">
          <fgColor rgb="00FFE9B3"/>
        </patternFill>
      </fill>
    </dxf>
    <dxf>
      <fill>
        <patternFill patternType="solid">
          <fgColor rgb="00F6C9C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6" customWidth="1" min="1" max="1"/>
    <col width="110" customWidth="1" min="2" max="2"/>
  </cols>
  <sheetData>
    <row r="1">
      <c r="A1" s="1" t="inlineStr">
        <is>
          <t>Vanguard Outreach System</t>
        </is>
      </c>
    </row>
    <row r="2">
      <c r="A2" s="2" t="inlineStr">
        <is>
          <t>LinkedIn · Facebook · Cold email · Reddit (F5Bot) — the daily engine that feeds booked calls to the closer</t>
        </is>
      </c>
    </row>
    <row r="3"/>
    <row r="4">
      <c r="A4" s="3" t="inlineStr">
        <is>
          <t>What this is</t>
        </is>
      </c>
      <c r="B4" s="4" t="inlineStr">
        <is>
          <t>Your daily outreach machine on top of the setters' cold calls. Every channel ends in the same place: a free demo for the business and a 15-minute walkthrough booked on Calendly.</t>
        </is>
      </c>
    </row>
    <row r="5">
      <c r="A5" s="3" t="inlineStr">
        <is>
          <t>The funnel</t>
        </is>
      </c>
      <c r="B5" s="4" t="inlineStr">
        <is>
          <t>1 Find (searches, groups, F5Bot alerts) → 2 Touch (connect, comment, email) → 3 Conversation (they reply) → 4 Demo (build it in 48h) → 5 Call booked → 6 Showed → 7 Won. Every lead lives in 'Lead Tracker' with a stage and a next-action date.</t>
        </is>
      </c>
    </row>
    <row r="6">
      <c r="A6" s="3" t="inlineStr">
        <is>
          <t>Who to target where</t>
        </is>
      </c>
      <c r="B6" s="4" t="inlineStr">
        <is>
          <t>Facebook: local business owners in city and niche groups, plus 'can anyone recommend a web designer?' posts. LinkedIn: about half owners, half referral partners (bookkeepers, coaches, photographers, marketers who don't build sites); trades and salon owners are on LinkedIn less. Email: businesses with a weak website (they list an email). Reddit: people asking to hire someone to build a site.</t>
        </is>
      </c>
    </row>
    <row r="7">
      <c r="A7" s="3" t="inlineStr">
        <is>
          <t>Daily loop</t>
        </is>
      </c>
      <c r="B7" s="4" t="inlineStr">
        <is>
          <t>Morning: read the automated digests (A1–A5), approve and send the drafted replies, then do the day's outreach to the targets in 'Daily KPIs'. End of day: fill in one row of 'Daily Log' and update 'Lead Tracker'. Friday: run the weekly review prompt (A6).</t>
        </is>
      </c>
    </row>
    <row r="8">
      <c r="A8" s="3" t="inlineStr">
        <is>
          <t>What's automated</t>
        </is>
      </c>
      <c r="B8" s="4" t="inlineStr">
        <is>
          <t>Claude does the finding, reading, sorting and drafting every day (see 'Automations'). You approve and press send. Cold email sending runs on its own inside your email tool once the sequence is set up. Nothing gets posted or sent on LinkedIn, Facebook or Reddit without you: auto-sending there breaks their rules and gets accounts restricted.</t>
        </is>
      </c>
    </row>
    <row r="9">
      <c r="A9" s="3" t="inlineStr">
        <is>
          <t>How to fill it in</t>
        </is>
      </c>
      <c r="B9" s="4" t="inlineStr">
        <is>
          <t>Yellow cells with blue text are yours to fill in or change. Black text is formulas or reference: leave it. Grey italic rows are worked examples showing the format.</t>
        </is>
      </c>
    </row>
    <row r="10">
      <c r="A10" s="3" t="inlineStr">
        <is>
          <t>Tabs</t>
        </is>
      </c>
      <c r="B10" s="4" t="inlineStr">
        <is>
          <t>Daily KPIs · Daily Log · Funnel Math · Lead Tracker · Reply Playbook · Templates · Sequences · Daily Routine · Targets &amp; Sources · Automations · Rules &amp; Limits</t>
        </is>
      </c>
    </row>
    <row r="11">
      <c r="A11" s="3" t="inlineStr">
        <is>
          <t>Before day 1</t>
        </is>
      </c>
      <c r="B11" s="4" t="inlineStr">
        <is>
          <t>1) Fill in your cities, niches and Calendly link in 'Targets &amp; Sources'. 2) Join 10 Facebook groups and paste their links there. 3) Set up F5Bot alerts with the keywords listed. 4) Set up a separate cold-email domain and start its warm-up (2–3 weeks before full volume). 5) Paste prompts A2–A5 into Claude in Chrome and set them to repeat. 6) Tell Claude your time zone to schedule A1.</t>
        </is>
      </c>
    </row>
    <row r="12"/>
    <row r="13">
      <c r="A13" s="5" t="inlineStr">
        <is>
          <t>Legend</t>
        </is>
      </c>
      <c r="B13" s="6" t="inlineStr">
        <is>
          <t>Input / yours to edit</t>
        </is>
      </c>
    </row>
    <row r="14">
      <c r="B14" s="7" t="inlineStr">
        <is>
          <t>Example row (format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showGridLines="0" workbookViewId="0">
      <pane ySplit="5" topLeftCell="A6" activePane="bottomLeft" state="frozen"/>
      <selection pane="bottomLeft" activeCell="A1" sqref="A1"/>
    </sheetView>
  </sheetViews>
  <sheetFormatPr baseColWidth="8" defaultRowHeight="15"/>
  <cols>
    <col width="8" customWidth="1" min="1" max="1"/>
    <col width="12" customWidth="1" min="2" max="2"/>
    <col width="40" customWidth="1" min="3" max="3"/>
    <col width="12" customWidth="1" min="4" max="4"/>
    <col width="12" customWidth="1" min="5" max="5"/>
    <col width="14" customWidth="1" min="6" max="6"/>
    <col width="14" customWidth="1" min="7" max="7"/>
    <col width="60" customWidth="1" min="8" max="8"/>
    <col width="34" customWidth="1" min="9" max="9"/>
  </cols>
  <sheetData>
    <row r="1">
      <c r="A1" s="1" t="inlineStr">
        <is>
          <t>Daily KPIs</t>
        </is>
      </c>
    </row>
    <row r="2">
      <c r="A2" s="2" t="inlineStr">
        <is>
          <t>Weekday targets. Change the yellow numbers; everything else updates. Set 'Week starting' to this Monday to see progress.</t>
        </is>
      </c>
    </row>
    <row r="3">
      <c r="A3" s="5" t="inlineStr">
        <is>
          <t>Week starting (Monday)</t>
        </is>
      </c>
      <c r="C3" s="8" t="n">
        <v>46314</v>
      </c>
    </row>
    <row r="4"/>
    <row r="5">
      <c r="A5" s="9" t="inlineStr">
        <is>
          <t>Log col</t>
        </is>
      </c>
      <c r="B5" s="9" t="inlineStr">
        <is>
          <t>Channel</t>
        </is>
      </c>
      <c r="C5" s="9" t="inlineStr">
        <is>
          <t>Activity</t>
        </is>
      </c>
      <c r="D5" s="9" t="inlineStr">
        <is>
          <t>Daily target</t>
        </is>
      </c>
      <c r="E5" s="9" t="inlineStr">
        <is>
          <t>Weekly target</t>
        </is>
      </c>
      <c r="F5" s="9" t="inlineStr">
        <is>
          <t>This week actual</t>
        </is>
      </c>
      <c r="G5" s="9" t="inlineStr">
        <is>
          <t>% of weekly target</t>
        </is>
      </c>
      <c r="H5" s="9" t="inlineStr">
        <is>
          <t>Why / how</t>
        </is>
      </c>
      <c r="I5" s="9" t="inlineStr">
        <is>
          <t>Safety cap</t>
        </is>
      </c>
    </row>
    <row r="6">
      <c r="A6" s="10" t="inlineStr">
        <is>
          <t>B</t>
        </is>
      </c>
      <c r="B6" s="10" t="inlineStr">
        <is>
          <t>LinkedIn</t>
        </is>
      </c>
      <c r="C6" s="10" t="inlineStr">
        <is>
          <t>Connection requests sent</t>
        </is>
      </c>
      <c r="D6" s="11" t="n">
        <v>15</v>
      </c>
      <c r="E6" s="10">
        <f>D6*5</f>
        <v/>
      </c>
      <c r="F6" s="10">
        <f>SUMIFS('Daily Log'!B:B,'Daily Log'!$A:$A,"&gt;="&amp;$C$3,'Daily Log'!$A:$A,"&lt;"&amp;$C$3+7)</f>
        <v/>
      </c>
      <c r="G6" s="12">
        <f>IF(E6=0,"-",F6/E6)</f>
        <v/>
      </c>
      <c r="H6" s="10" t="inlineStr">
        <is>
          <t>Owners + referral partners from prospect finder (A3).</t>
        </is>
      </c>
      <c r="I6" s="10" t="inlineStr">
        <is>
          <t>~100 / week LinkedIn limit; stay ≤ 75</t>
        </is>
      </c>
    </row>
    <row r="7">
      <c r="A7" s="10" t="inlineStr">
        <is>
          <t>C</t>
        </is>
      </c>
      <c r="B7" s="10" t="inlineStr">
        <is>
          <t>LinkedIn</t>
        </is>
      </c>
      <c r="C7" s="10" t="inlineStr">
        <is>
          <t>First messages to new connections</t>
        </is>
      </c>
      <c r="D7" s="11" t="n">
        <v>10</v>
      </c>
      <c r="E7" s="10">
        <f>D7*5</f>
        <v/>
      </c>
      <c r="F7" s="10">
        <f>SUMIFS('Daily Log'!C:C,'Daily Log'!$A:$A,"&gt;="&amp;$C$3,'Daily Log'!$A:$A,"&lt;"&amp;$C$3+7)</f>
        <v/>
      </c>
      <c r="G7" s="12">
        <f>IF(E7=0,"-",F7/E7)</f>
        <v/>
      </c>
      <c r="H7" s="10" t="inlineStr">
        <is>
          <t>Template LI-02, personalised with one real detail.</t>
        </is>
      </c>
      <c r="I7" s="10" t="inlineStr">
        <is>
          <t>Only people who accepted</t>
        </is>
      </c>
    </row>
    <row r="8">
      <c r="A8" s="10" t="inlineStr">
        <is>
          <t>D</t>
        </is>
      </c>
      <c r="B8" s="10" t="inlineStr">
        <is>
          <t>LinkedIn</t>
        </is>
      </c>
      <c r="C8" s="10" t="inlineStr">
        <is>
          <t>Comments on prospects' / community posts</t>
        </is>
      </c>
      <c r="D8" s="11" t="n">
        <v>5</v>
      </c>
      <c r="E8" s="10">
        <f>D8*5</f>
        <v/>
      </c>
      <c r="F8" s="10">
        <f>SUMIFS('Daily Log'!D:D,'Daily Log'!$A:$A,"&gt;="&amp;$C$3,'Daily Log'!$A:$A,"&lt;"&amp;$C$3+7)</f>
        <v/>
      </c>
      <c r="G8" s="12">
        <f>IF(E8=0,"-",F8/E8)</f>
        <v/>
      </c>
      <c r="H8" s="10" t="inlineStr">
        <is>
          <t>Useful comments, not pitches. Puts your name in front of them before the DM.</t>
        </is>
      </c>
      <c r="I8" s="10" t="inlineStr"/>
    </row>
    <row r="9">
      <c r="A9" s="10" t="inlineStr">
        <is>
          <t>E</t>
        </is>
      </c>
      <c r="B9" s="10" t="inlineStr">
        <is>
          <t>Facebook</t>
        </is>
      </c>
      <c r="C9" s="10" t="inlineStr">
        <is>
          <t>Helpful comments in local groups</t>
        </is>
      </c>
      <c r="D9" s="11" t="n">
        <v>10</v>
      </c>
      <c r="E9" s="10">
        <f>D9*5</f>
        <v/>
      </c>
      <c r="F9" s="10">
        <f>SUMIFS('Daily Log'!E:E,'Daily Log'!$A:$A,"&gt;="&amp;$C$3,'Daily Log'!$A:$A,"&lt;"&amp;$C$3+7)</f>
        <v/>
      </c>
      <c r="G9" s="12">
        <f>IF(E9=0,"-",F9/E9)</f>
        <v/>
      </c>
      <c r="H9" s="10" t="inlineStr">
        <is>
          <t>Value comments from A4 list. Builds recognition in the group.</t>
        </is>
      </c>
      <c r="I9" s="10" t="inlineStr">
        <is>
          <t>Follow each group's rules</t>
        </is>
      </c>
    </row>
    <row r="10">
      <c r="A10" s="10" t="inlineStr">
        <is>
          <t>F</t>
        </is>
      </c>
      <c r="B10" s="10" t="inlineStr">
        <is>
          <t>Facebook</t>
        </is>
      </c>
      <c r="C10" s="10" t="inlineStr">
        <is>
          <t>Replies to 'need a website / recommend' posts</t>
        </is>
      </c>
      <c r="D10" s="11" t="n">
        <v>3</v>
      </c>
      <c r="E10" s="10">
        <f>D10*5</f>
        <v/>
      </c>
      <c r="F10" s="10">
        <f>SUMIFS('Daily Log'!F:F,'Daily Log'!$A:$A,"&gt;="&amp;$C$3,'Daily Log'!$A:$A,"&lt;"&amp;$C$3+7)</f>
        <v/>
      </c>
      <c r="G10" s="12">
        <f>IF(E10=0,"-",F10/E10)</f>
        <v/>
      </c>
      <c r="H10" s="10" t="inlineStr">
        <is>
          <t>Every one found by A4, same day. Template FB-01 then FB-02.</t>
        </is>
      </c>
      <c r="I10" s="10" t="inlineStr">
        <is>
          <t>Do all you find</t>
        </is>
      </c>
    </row>
    <row r="11">
      <c r="A11" s="10" t="inlineStr">
        <is>
          <t>G</t>
        </is>
      </c>
      <c r="B11" s="10" t="inlineStr">
        <is>
          <t>Facebook</t>
        </is>
      </c>
      <c r="C11" s="10" t="inlineStr">
        <is>
          <t>DMs to warm people (asked or engaged)</t>
        </is>
      </c>
      <c r="D11" s="11" t="n">
        <v>5</v>
      </c>
      <c r="E11" s="10">
        <f>D11*5</f>
        <v/>
      </c>
      <c r="F11" s="10">
        <f>SUMIFS('Daily Log'!G:G,'Daily Log'!$A:$A,"&gt;="&amp;$C$3,'Daily Log'!$A:$A,"&lt;"&amp;$C$3+7)</f>
        <v/>
      </c>
      <c r="G11" s="12">
        <f>IF(E11=0,"-",F11/E11)</f>
        <v/>
      </c>
      <c r="H11" s="10" t="inlineStr">
        <is>
          <t>Only people who asked publicly or engaged with you. Template FB-02/FB-03.</t>
        </is>
      </c>
      <c r="I11" s="10" t="inlineStr">
        <is>
          <t>Never mass-DM group members</t>
        </is>
      </c>
    </row>
    <row r="12">
      <c r="A12" s="10" t="inlineStr">
        <is>
          <t>H</t>
        </is>
      </c>
      <c r="B12" s="10" t="inlineStr">
        <is>
          <t>Email</t>
        </is>
      </c>
      <c r="C12" s="10" t="inlineStr">
        <is>
          <t>New cold emails sent</t>
        </is>
      </c>
      <c r="D12" s="11" t="n">
        <v>40</v>
      </c>
      <c r="E12" s="10">
        <f>D12*5</f>
        <v/>
      </c>
      <c r="F12" s="10">
        <f>SUMIFS('Daily Log'!H:H,'Daily Log'!$A:$A,"&gt;="&amp;$C$3,'Daily Log'!$A:$A,"&lt;"&amp;$C$3+7)</f>
        <v/>
      </c>
      <c r="G12" s="12">
        <f>IF(E12=0,"-",F12/E12)</f>
        <v/>
      </c>
      <c r="H12" s="10" t="inlineStr">
        <is>
          <t>Weak-website businesses with a public email. Demo built before step 1.</t>
        </is>
      </c>
      <c r="I12" s="10" t="inlineStr">
        <is>
          <t>≤ 25–30 per inbox per day after warm-up</t>
        </is>
      </c>
    </row>
    <row r="13">
      <c r="A13" s="10" t="inlineStr">
        <is>
          <t>I</t>
        </is>
      </c>
      <c r="B13" s="10" t="inlineStr">
        <is>
          <t>Reddit</t>
        </is>
      </c>
      <c r="C13" s="10" t="inlineStr">
        <is>
          <t>Helpful replies to buying-intent posts</t>
        </is>
      </c>
      <c r="D13" s="11" t="n">
        <v>3</v>
      </c>
      <c r="E13" s="10">
        <f>D13*5</f>
        <v/>
      </c>
      <c r="F13" s="10">
        <f>SUMIFS('Daily Log'!I:I,'Daily Log'!$A:$A,"&gt;="&amp;$C$3,'Daily Log'!$A:$A,"&lt;"&amp;$C$3+7)</f>
        <v/>
      </c>
      <c r="G13" s="12">
        <f>IF(E13=0,"-",F13/E13)</f>
        <v/>
      </c>
      <c r="H13" s="10" t="inlineStr">
        <is>
          <t>From the A1 digest, score 3+. Tips first, offer second.</t>
        </is>
      </c>
      <c r="I13" s="10" t="inlineStr">
        <is>
          <t>Follow subreddit rules</t>
        </is>
      </c>
    </row>
    <row r="14">
      <c r="A14" s="10" t="inlineStr">
        <is>
          <t>J</t>
        </is>
      </c>
      <c r="B14" s="10" t="inlineStr">
        <is>
          <t>Network</t>
        </is>
      </c>
      <c r="C14" s="10" t="inlineStr">
        <is>
          <t>Referral-partner conversations started</t>
        </is>
      </c>
      <c r="D14" s="11" t="n">
        <v>2</v>
      </c>
      <c r="E14" s="10">
        <f>D14*5</f>
        <v/>
      </c>
      <c r="F14" s="10">
        <f>SUMIFS('Daily Log'!J:J,'Daily Log'!$A:$A,"&gt;="&amp;$C$3,'Daily Log'!$A:$A,"&lt;"&amp;$C$3+7)</f>
        <v/>
      </c>
      <c r="G14" s="12">
        <f>IF(E14=0,"-",F14/E14)</f>
        <v/>
      </c>
      <c r="H14" s="10" t="inlineStr">
        <is>
          <t>Template LI-06, local events, chamber/BNI contacts.</t>
        </is>
      </c>
      <c r="I14" s="10" t="inlineStr"/>
    </row>
    <row r="15">
      <c r="A15" s="10" t="inlineStr">
        <is>
          <t>K</t>
        </is>
      </c>
      <c r="B15" s="10" t="inlineStr">
        <is>
          <t>Outcome</t>
        </is>
      </c>
      <c r="C15" s="13" t="inlineStr">
        <is>
          <t>New conversations (any channel)</t>
        </is>
      </c>
      <c r="D15" s="11" t="n">
        <v>8</v>
      </c>
      <c r="E15" s="10">
        <f>D15*5</f>
        <v/>
      </c>
      <c r="F15" s="10">
        <f>SUMIFS('Daily Log'!K:K,'Daily Log'!$A:$A,"&gt;="&amp;$C$3,'Daily Log'!$A:$A,"&lt;"&amp;$C$3+7)</f>
        <v/>
      </c>
      <c r="G15" s="12">
        <f>IF(E15=0,"-",F15/E15)</f>
        <v/>
      </c>
      <c r="H15" s="10" t="inlineStr">
        <is>
          <t>Someone replied and a real back-and-forth started.</t>
        </is>
      </c>
      <c r="I15" s="10" t="inlineStr"/>
    </row>
    <row r="16">
      <c r="A16" s="10" t="inlineStr">
        <is>
          <t>L</t>
        </is>
      </c>
      <c r="B16" s="10" t="inlineStr">
        <is>
          <t>Outcome</t>
        </is>
      </c>
      <c r="C16" s="13" t="inlineStr">
        <is>
          <t>Demos built for warm leads</t>
        </is>
      </c>
      <c r="D16" s="11" t="n">
        <v>2</v>
      </c>
      <c r="E16" s="10">
        <f>D16*5</f>
        <v/>
      </c>
      <c r="F16" s="10">
        <f>SUMIFS('Daily Log'!L:L,'Daily Log'!$A:$A,"&gt;="&amp;$C$3,'Daily Log'!$A:$A,"&lt;"&amp;$C$3+7)</f>
        <v/>
      </c>
      <c r="G16" s="12">
        <f>IF(E16=0,"-",F16/E16)</f>
        <v/>
      </c>
      <c r="H16" s="10" t="inlineStr">
        <is>
          <t>scripts/generate_demo.py; send within 48h of a yes.</t>
        </is>
      </c>
      <c r="I16" s="10" t="inlineStr">
        <is>
          <t>Never before they say yes, except email step 1</t>
        </is>
      </c>
    </row>
    <row r="17">
      <c r="A17" s="10" t="inlineStr">
        <is>
          <t>M</t>
        </is>
      </c>
      <c r="B17" s="10" t="inlineStr">
        <is>
          <t>Outcome</t>
        </is>
      </c>
      <c r="C17" s="13" t="inlineStr">
        <is>
          <t>Calls booked</t>
        </is>
      </c>
      <c r="D17" s="11" t="n">
        <v>1</v>
      </c>
      <c r="E17" s="10">
        <f>D17*5</f>
        <v/>
      </c>
      <c r="F17" s="10">
        <f>SUMIFS('Daily Log'!M:M,'Daily Log'!$A:$A,"&gt;="&amp;$C$3,'Daily Log'!$A:$A,"&lt;"&amp;$C$3+7)</f>
        <v/>
      </c>
      <c r="G17" s="12">
        <f>IF(E17=0,"-",F17/E17)</f>
        <v/>
      </c>
      <c r="H17" s="10" t="inlineStr">
        <is>
          <t>The number that matters. 5 a week feeds about 1–2 closes.</t>
        </is>
      </c>
      <c r="I17" s="10" t="inlineStr"/>
    </row>
    <row r="18"/>
    <row r="19">
      <c r="B19" s="5" t="inlineStr">
        <is>
          <t>Weekly-only targets</t>
        </is>
      </c>
    </row>
    <row r="20">
      <c r="A20" s="10" t="inlineStr"/>
      <c r="B20" s="10" t="inlineStr">
        <is>
          <t>LinkedIn</t>
        </is>
      </c>
      <c r="C20" s="10" t="inlineStr">
        <is>
          <t>Value posts on your profile (demo before/after, local business tips)</t>
        </is>
      </c>
      <c r="D20" s="10" t="inlineStr"/>
      <c r="E20" s="11" t="n">
        <v>3</v>
      </c>
    </row>
    <row r="21">
      <c r="A21" s="10" t="inlineStr"/>
      <c r="B21" s="10" t="inlineStr">
        <is>
          <t>Facebook</t>
        </is>
      </c>
      <c r="C21" s="10" t="inlineStr">
        <is>
          <t>Posts in groups that allow service offers (FB-04)</t>
        </is>
      </c>
      <c r="D21" s="10" t="inlineStr"/>
      <c r="E21" s="11" t="n">
        <v>2</v>
      </c>
    </row>
    <row r="22">
      <c r="A22" s="10" t="inlineStr"/>
      <c r="B22" s="10" t="inlineStr">
        <is>
          <t>Facebook</t>
        </is>
      </c>
      <c r="C22" s="10" t="inlineStr">
        <is>
          <t>New relevant groups joined</t>
        </is>
      </c>
      <c r="D22" s="10" t="inlineStr"/>
      <c r="E22" s="11" t="n">
        <v>2</v>
      </c>
    </row>
    <row r="23">
      <c r="A23" s="10" t="inlineStr"/>
      <c r="B23" s="10" t="inlineStr">
        <is>
          <t>Network</t>
        </is>
      </c>
      <c r="C23" s="10" t="inlineStr">
        <is>
          <t>Live or online networking event (chamber, BNI visit, Meetup)</t>
        </is>
      </c>
      <c r="D23" s="10" t="inlineStr"/>
      <c r="E23" s="11" t="n">
        <v>1</v>
      </c>
    </row>
    <row r="24">
      <c r="A24" s="10" t="inlineStr"/>
      <c r="B24" s="10" t="inlineStr">
        <is>
          <t>LinkedIn</t>
        </is>
      </c>
      <c r="C24" s="10" t="inlineStr">
        <is>
          <t>Withdraw invites pending 3+ weeks</t>
        </is>
      </c>
      <c r="D24" s="10" t="inlineStr"/>
      <c r="E24" s="11" t="n">
        <v>1</v>
      </c>
    </row>
    <row r="25"/>
    <row r="26">
      <c r="B26" s="2" t="inlineStr">
        <is>
          <t>Targets are planning numbers chosen by Claude to fit platform limits and about 2 hours of outreach a day; adjust after two weeks of real data.</t>
        </is>
      </c>
    </row>
  </sheetData>
  <conditionalFormatting sqref="G6:G17">
    <cfRule type="cellIs" priority="1" operator="greaterThanOrEqual" dxfId="0">
      <formula>1</formula>
    </cfRule>
    <cfRule type="cellIs" priority="2" operator="between" dxfId="1">
      <formula>0.7</formula>
      <formula>0.9999</formula>
    </cfRule>
    <cfRule type="cellIs" priority="3" operator="lessThan" dxfId="2">
      <formula>0.7</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9"/>
  <sheetViews>
    <sheetView showGridLines="0" workbookViewId="0">
      <pane ySplit="4" topLeftCell="A5"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9" customWidth="1" min="5" max="5"/>
    <col width="1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0" customWidth="1" min="14" max="14"/>
    <col width="10" customWidth="1" min="15" max="15"/>
    <col width="40" customWidth="1" min="16" max="16"/>
  </cols>
  <sheetData>
    <row r="1">
      <c r="A1" s="1" t="inlineStr">
        <is>
          <t>Daily Log</t>
        </is>
      </c>
    </row>
    <row r="2">
      <c r="A2" s="2" t="inlineStr">
        <is>
          <t>One row per weekday. Fill in the yellow cells at the end of each day (5 minutes). Score = average % of each activity target hit (capped at 100%).</t>
        </is>
      </c>
    </row>
    <row r="3"/>
    <row r="4" ht="30" customHeight="1">
      <c r="A4" s="9" t="inlineStr">
        <is>
          <t>Date</t>
        </is>
      </c>
      <c r="B4" s="9" t="inlineStr">
        <is>
          <t>LI connects</t>
        </is>
      </c>
      <c r="C4" s="9" t="inlineStr">
        <is>
          <t>LI first msgs</t>
        </is>
      </c>
      <c r="D4" s="9" t="inlineStr">
        <is>
          <t>LI comments</t>
        </is>
      </c>
      <c r="E4" s="9" t="inlineStr">
        <is>
          <t>FB comments</t>
        </is>
      </c>
      <c r="F4" s="9" t="inlineStr">
        <is>
          <t>FB request replies</t>
        </is>
      </c>
      <c r="G4" s="9" t="inlineStr">
        <is>
          <t>FB warm DMs</t>
        </is>
      </c>
      <c r="H4" s="9" t="inlineStr">
        <is>
          <t>Emails sent</t>
        </is>
      </c>
      <c r="I4" s="9" t="inlineStr">
        <is>
          <t>Reddit replies</t>
        </is>
      </c>
      <c r="J4" s="9" t="inlineStr">
        <is>
          <t>Partner convos</t>
        </is>
      </c>
      <c r="K4" s="9" t="inlineStr">
        <is>
          <t>New convos</t>
        </is>
      </c>
      <c r="L4" s="9" t="inlineStr">
        <is>
          <t>Demos built</t>
        </is>
      </c>
      <c r="M4" s="9" t="inlineStr">
        <is>
          <t>Calls booked</t>
        </is>
      </c>
      <c r="N4" s="9" t="inlineStr">
        <is>
          <t>Total touches</t>
        </is>
      </c>
      <c r="O4" s="9" t="inlineStr">
        <is>
          <t>Activity score</t>
        </is>
      </c>
      <c r="P4" s="9" t="inlineStr">
        <is>
          <t>Notes</t>
        </is>
      </c>
    </row>
    <row r="5">
      <c r="A5" s="14" t="inlineStr">
        <is>
          <t>Example</t>
        </is>
      </c>
      <c r="B5" s="14" t="n">
        <v>15</v>
      </c>
      <c r="C5" s="14" t="n">
        <v>10</v>
      </c>
      <c r="D5" s="14" t="n">
        <v>5</v>
      </c>
      <c r="E5" s="14" t="n">
        <v>8</v>
      </c>
      <c r="F5" s="14" t="n">
        <v>2</v>
      </c>
      <c r="G5" s="14" t="n">
        <v>4</v>
      </c>
      <c r="H5" s="14" t="n">
        <v>40</v>
      </c>
      <c r="I5" s="14" t="n">
        <v>3</v>
      </c>
      <c r="J5" s="14" t="n">
        <v>1</v>
      </c>
      <c r="K5" s="14" t="n">
        <v>6</v>
      </c>
      <c r="L5" s="14" t="n">
        <v>2</v>
      </c>
      <c r="M5" s="14" t="n">
        <v>1</v>
      </c>
      <c r="N5" s="14">
        <f>SUM(B5:J5)</f>
        <v/>
      </c>
      <c r="O5" s="15">
        <f>IF(COUNT(B5:J5)=0,"",(MIN(B5/'Daily KPIs'!$D$6,1)+MIN(C5/'Daily KPIs'!$D$7,1)+MIN(D5/'Daily KPIs'!$D$8,1)+MIN(E5/'Daily KPIs'!$D$9,1)+MIN(F5/'Daily KPIs'!$D$10,1)+MIN(G5/'Daily KPIs'!$D$11,1)+MIN(H5/'Daily KPIs'!$D$12,1)+MIN(I5/'Daily KPIs'!$D$13,1)+MIN(J5/'Daily KPIs'!$D$14,1))/9)</f>
        <v/>
      </c>
      <c r="P5" s="14" t="inlineStr">
        <is>
          <t>Example only — not counted in weekly totals</t>
        </is>
      </c>
    </row>
    <row r="6">
      <c r="A6" s="16" t="n">
        <v>46314</v>
      </c>
      <c r="B6" s="17" t="n"/>
      <c r="C6" s="17" t="n"/>
      <c r="D6" s="17" t="n"/>
      <c r="E6" s="17" t="n"/>
      <c r="F6" s="17" t="n"/>
      <c r="G6" s="17" t="n"/>
      <c r="H6" s="17" t="n"/>
      <c r="I6" s="17" t="n"/>
      <c r="J6" s="17" t="n"/>
      <c r="K6" s="17" t="n"/>
      <c r="L6" s="17" t="n"/>
      <c r="M6" s="17" t="n"/>
      <c r="N6" s="18">
        <f>IF(COUNT(B6:J6)=0,"",SUM(B6:J6))</f>
        <v/>
      </c>
      <c r="O6" s="19">
        <f>IF(COUNT(B6:J6)=0,"",(MIN(B6/'Daily KPIs'!$D$6,1)+MIN(C6/'Daily KPIs'!$D$7,1)+MIN(D6/'Daily KPIs'!$D$8,1)+MIN(E6/'Daily KPIs'!$D$9,1)+MIN(F6/'Daily KPIs'!$D$10,1)+MIN(G6/'Daily KPIs'!$D$11,1)+MIN(H6/'Daily KPIs'!$D$12,1)+MIN(I6/'Daily KPIs'!$D$13,1)+MIN(J6/'Daily KPIs'!$D$14,1))/9)</f>
        <v/>
      </c>
      <c r="P6" s="20" t="n"/>
    </row>
    <row r="7">
      <c r="A7" s="16" t="n">
        <v>46315</v>
      </c>
      <c r="B7" s="17" t="n"/>
      <c r="C7" s="17" t="n"/>
      <c r="D7" s="17" t="n"/>
      <c r="E7" s="17" t="n"/>
      <c r="F7" s="17" t="n"/>
      <c r="G7" s="17" t="n"/>
      <c r="H7" s="17" t="n"/>
      <c r="I7" s="17" t="n"/>
      <c r="J7" s="17" t="n"/>
      <c r="K7" s="17" t="n"/>
      <c r="L7" s="17" t="n"/>
      <c r="M7" s="17" t="n"/>
      <c r="N7" s="18">
        <f>IF(COUNT(B7:J7)=0,"",SUM(B7:J7))</f>
        <v/>
      </c>
      <c r="O7" s="19">
        <f>IF(COUNT(B7:J7)=0,"",(MIN(B7/'Daily KPIs'!$D$6,1)+MIN(C7/'Daily KPIs'!$D$7,1)+MIN(D7/'Daily KPIs'!$D$8,1)+MIN(E7/'Daily KPIs'!$D$9,1)+MIN(F7/'Daily KPIs'!$D$10,1)+MIN(G7/'Daily KPIs'!$D$11,1)+MIN(H7/'Daily KPIs'!$D$12,1)+MIN(I7/'Daily KPIs'!$D$13,1)+MIN(J7/'Daily KPIs'!$D$14,1))/9)</f>
        <v/>
      </c>
      <c r="P7" s="20" t="n"/>
    </row>
    <row r="8">
      <c r="A8" s="16" t="n">
        <v>46316</v>
      </c>
      <c r="B8" s="17" t="n"/>
      <c r="C8" s="17" t="n"/>
      <c r="D8" s="17" t="n"/>
      <c r="E8" s="17" t="n"/>
      <c r="F8" s="17" t="n"/>
      <c r="G8" s="17" t="n"/>
      <c r="H8" s="17" t="n"/>
      <c r="I8" s="17" t="n"/>
      <c r="J8" s="17" t="n"/>
      <c r="K8" s="17" t="n"/>
      <c r="L8" s="17" t="n"/>
      <c r="M8" s="17" t="n"/>
      <c r="N8" s="18">
        <f>IF(COUNT(B8:J8)=0,"",SUM(B8:J8))</f>
        <v/>
      </c>
      <c r="O8" s="19">
        <f>IF(COUNT(B8:J8)=0,"",(MIN(B8/'Daily KPIs'!$D$6,1)+MIN(C8/'Daily KPIs'!$D$7,1)+MIN(D8/'Daily KPIs'!$D$8,1)+MIN(E8/'Daily KPIs'!$D$9,1)+MIN(F8/'Daily KPIs'!$D$10,1)+MIN(G8/'Daily KPIs'!$D$11,1)+MIN(H8/'Daily KPIs'!$D$12,1)+MIN(I8/'Daily KPIs'!$D$13,1)+MIN(J8/'Daily KPIs'!$D$14,1))/9)</f>
        <v/>
      </c>
      <c r="P8" s="20" t="n"/>
    </row>
    <row r="9">
      <c r="A9" s="16" t="n">
        <v>46317</v>
      </c>
      <c r="B9" s="17" t="n"/>
      <c r="C9" s="17" t="n"/>
      <c r="D9" s="17" t="n"/>
      <c r="E9" s="17" t="n"/>
      <c r="F9" s="17" t="n"/>
      <c r="G9" s="17" t="n"/>
      <c r="H9" s="17" t="n"/>
      <c r="I9" s="17" t="n"/>
      <c r="J9" s="17" t="n"/>
      <c r="K9" s="17" t="n"/>
      <c r="L9" s="17" t="n"/>
      <c r="M9" s="17" t="n"/>
      <c r="N9" s="18">
        <f>IF(COUNT(B9:J9)=0,"",SUM(B9:J9))</f>
        <v/>
      </c>
      <c r="O9" s="19">
        <f>IF(COUNT(B9:J9)=0,"",(MIN(B9/'Daily KPIs'!$D$6,1)+MIN(C9/'Daily KPIs'!$D$7,1)+MIN(D9/'Daily KPIs'!$D$8,1)+MIN(E9/'Daily KPIs'!$D$9,1)+MIN(F9/'Daily KPIs'!$D$10,1)+MIN(G9/'Daily KPIs'!$D$11,1)+MIN(H9/'Daily KPIs'!$D$12,1)+MIN(I9/'Daily KPIs'!$D$13,1)+MIN(J9/'Daily KPIs'!$D$14,1))/9)</f>
        <v/>
      </c>
      <c r="P9" s="20" t="n"/>
    </row>
    <row r="10">
      <c r="A10" s="16" t="n">
        <v>46318</v>
      </c>
      <c r="B10" s="17" t="n"/>
      <c r="C10" s="17" t="n"/>
      <c r="D10" s="17" t="n"/>
      <c r="E10" s="17" t="n"/>
      <c r="F10" s="17" t="n"/>
      <c r="G10" s="17" t="n"/>
      <c r="H10" s="17" t="n"/>
      <c r="I10" s="17" t="n"/>
      <c r="J10" s="17" t="n"/>
      <c r="K10" s="17" t="n"/>
      <c r="L10" s="17" t="n"/>
      <c r="M10" s="17" t="n"/>
      <c r="N10" s="18">
        <f>IF(COUNT(B10:J10)=0,"",SUM(B10:J10))</f>
        <v/>
      </c>
      <c r="O10" s="19">
        <f>IF(COUNT(B10:J10)=0,"",(MIN(B10/'Daily KPIs'!$D$6,1)+MIN(C10/'Daily KPIs'!$D$7,1)+MIN(D10/'Daily KPIs'!$D$8,1)+MIN(E10/'Daily KPIs'!$D$9,1)+MIN(F10/'Daily KPIs'!$D$10,1)+MIN(G10/'Daily KPIs'!$D$11,1)+MIN(H10/'Daily KPIs'!$D$12,1)+MIN(I10/'Daily KPIs'!$D$13,1)+MIN(J10/'Daily KPIs'!$D$14,1))/9)</f>
        <v/>
      </c>
      <c r="P10" s="20" t="n"/>
    </row>
    <row r="11">
      <c r="A11" s="16" t="n">
        <v>46321</v>
      </c>
      <c r="B11" s="17" t="n"/>
      <c r="C11" s="17" t="n"/>
      <c r="D11" s="17" t="n"/>
      <c r="E11" s="17" t="n"/>
      <c r="F11" s="17" t="n"/>
      <c r="G11" s="17" t="n"/>
      <c r="H11" s="17" t="n"/>
      <c r="I11" s="17" t="n"/>
      <c r="J11" s="17" t="n"/>
      <c r="K11" s="17" t="n"/>
      <c r="L11" s="17" t="n"/>
      <c r="M11" s="17" t="n"/>
      <c r="N11" s="18">
        <f>IF(COUNT(B11:J11)=0,"",SUM(B11:J11))</f>
        <v/>
      </c>
      <c r="O11" s="19">
        <f>IF(COUNT(B11:J11)=0,"",(MIN(B11/'Daily KPIs'!$D$6,1)+MIN(C11/'Daily KPIs'!$D$7,1)+MIN(D11/'Daily KPIs'!$D$8,1)+MIN(E11/'Daily KPIs'!$D$9,1)+MIN(F11/'Daily KPIs'!$D$10,1)+MIN(G11/'Daily KPIs'!$D$11,1)+MIN(H11/'Daily KPIs'!$D$12,1)+MIN(I11/'Daily KPIs'!$D$13,1)+MIN(J11/'Daily KPIs'!$D$14,1))/9)</f>
        <v/>
      </c>
      <c r="P11" s="20" t="n"/>
    </row>
    <row r="12">
      <c r="A12" s="16" t="n">
        <v>46322</v>
      </c>
      <c r="B12" s="17" t="n"/>
      <c r="C12" s="17" t="n"/>
      <c r="D12" s="17" t="n"/>
      <c r="E12" s="17" t="n"/>
      <c r="F12" s="17" t="n"/>
      <c r="G12" s="17" t="n"/>
      <c r="H12" s="17" t="n"/>
      <c r="I12" s="17" t="n"/>
      <c r="J12" s="17" t="n"/>
      <c r="K12" s="17" t="n"/>
      <c r="L12" s="17" t="n"/>
      <c r="M12" s="17" t="n"/>
      <c r="N12" s="18">
        <f>IF(COUNT(B12:J12)=0,"",SUM(B12:J12))</f>
        <v/>
      </c>
      <c r="O12" s="19">
        <f>IF(COUNT(B12:J12)=0,"",(MIN(B12/'Daily KPIs'!$D$6,1)+MIN(C12/'Daily KPIs'!$D$7,1)+MIN(D12/'Daily KPIs'!$D$8,1)+MIN(E12/'Daily KPIs'!$D$9,1)+MIN(F12/'Daily KPIs'!$D$10,1)+MIN(G12/'Daily KPIs'!$D$11,1)+MIN(H12/'Daily KPIs'!$D$12,1)+MIN(I12/'Daily KPIs'!$D$13,1)+MIN(J12/'Daily KPIs'!$D$14,1))/9)</f>
        <v/>
      </c>
      <c r="P12" s="20" t="n"/>
    </row>
    <row r="13">
      <c r="A13" s="16" t="n">
        <v>46323</v>
      </c>
      <c r="B13" s="17" t="n"/>
      <c r="C13" s="17" t="n"/>
      <c r="D13" s="17" t="n"/>
      <c r="E13" s="17" t="n"/>
      <c r="F13" s="17" t="n"/>
      <c r="G13" s="17" t="n"/>
      <c r="H13" s="17" t="n"/>
      <c r="I13" s="17" t="n"/>
      <c r="J13" s="17" t="n"/>
      <c r="K13" s="17" t="n"/>
      <c r="L13" s="17" t="n"/>
      <c r="M13" s="17" t="n"/>
      <c r="N13" s="18">
        <f>IF(COUNT(B13:J13)=0,"",SUM(B13:J13))</f>
        <v/>
      </c>
      <c r="O13" s="19">
        <f>IF(COUNT(B13:J13)=0,"",(MIN(B13/'Daily KPIs'!$D$6,1)+MIN(C13/'Daily KPIs'!$D$7,1)+MIN(D13/'Daily KPIs'!$D$8,1)+MIN(E13/'Daily KPIs'!$D$9,1)+MIN(F13/'Daily KPIs'!$D$10,1)+MIN(G13/'Daily KPIs'!$D$11,1)+MIN(H13/'Daily KPIs'!$D$12,1)+MIN(I13/'Daily KPIs'!$D$13,1)+MIN(J13/'Daily KPIs'!$D$14,1))/9)</f>
        <v/>
      </c>
      <c r="P13" s="20" t="n"/>
    </row>
    <row r="14">
      <c r="A14" s="16" t="n">
        <v>46324</v>
      </c>
      <c r="B14" s="17" t="n"/>
      <c r="C14" s="17" t="n"/>
      <c r="D14" s="17" t="n"/>
      <c r="E14" s="17" t="n"/>
      <c r="F14" s="17" t="n"/>
      <c r="G14" s="17" t="n"/>
      <c r="H14" s="17" t="n"/>
      <c r="I14" s="17" t="n"/>
      <c r="J14" s="17" t="n"/>
      <c r="K14" s="17" t="n"/>
      <c r="L14" s="17" t="n"/>
      <c r="M14" s="17" t="n"/>
      <c r="N14" s="18">
        <f>IF(COUNT(B14:J14)=0,"",SUM(B14:J14))</f>
        <v/>
      </c>
      <c r="O14" s="19">
        <f>IF(COUNT(B14:J14)=0,"",(MIN(B14/'Daily KPIs'!$D$6,1)+MIN(C14/'Daily KPIs'!$D$7,1)+MIN(D14/'Daily KPIs'!$D$8,1)+MIN(E14/'Daily KPIs'!$D$9,1)+MIN(F14/'Daily KPIs'!$D$10,1)+MIN(G14/'Daily KPIs'!$D$11,1)+MIN(H14/'Daily KPIs'!$D$12,1)+MIN(I14/'Daily KPIs'!$D$13,1)+MIN(J14/'Daily KPIs'!$D$14,1))/9)</f>
        <v/>
      </c>
      <c r="P14" s="20" t="n"/>
    </row>
    <row r="15">
      <c r="A15" s="16" t="n">
        <v>46325</v>
      </c>
      <c r="B15" s="17" t="n"/>
      <c r="C15" s="17" t="n"/>
      <c r="D15" s="17" t="n"/>
      <c r="E15" s="17" t="n"/>
      <c r="F15" s="17" t="n"/>
      <c r="G15" s="17" t="n"/>
      <c r="H15" s="17" t="n"/>
      <c r="I15" s="17" t="n"/>
      <c r="J15" s="17" t="n"/>
      <c r="K15" s="17" t="n"/>
      <c r="L15" s="17" t="n"/>
      <c r="M15" s="17" t="n"/>
      <c r="N15" s="18">
        <f>IF(COUNT(B15:J15)=0,"",SUM(B15:J15))</f>
        <v/>
      </c>
      <c r="O15" s="19">
        <f>IF(COUNT(B15:J15)=0,"",(MIN(B15/'Daily KPIs'!$D$6,1)+MIN(C15/'Daily KPIs'!$D$7,1)+MIN(D15/'Daily KPIs'!$D$8,1)+MIN(E15/'Daily KPIs'!$D$9,1)+MIN(F15/'Daily KPIs'!$D$10,1)+MIN(G15/'Daily KPIs'!$D$11,1)+MIN(H15/'Daily KPIs'!$D$12,1)+MIN(I15/'Daily KPIs'!$D$13,1)+MIN(J15/'Daily KPIs'!$D$14,1))/9)</f>
        <v/>
      </c>
      <c r="P15" s="20" t="n"/>
    </row>
    <row r="16">
      <c r="A16" s="16" t="n">
        <v>46328</v>
      </c>
      <c r="B16" s="17" t="n"/>
      <c r="C16" s="17" t="n"/>
      <c r="D16" s="17" t="n"/>
      <c r="E16" s="17" t="n"/>
      <c r="F16" s="17" t="n"/>
      <c r="G16" s="17" t="n"/>
      <c r="H16" s="17" t="n"/>
      <c r="I16" s="17" t="n"/>
      <c r="J16" s="17" t="n"/>
      <c r="K16" s="17" t="n"/>
      <c r="L16" s="17" t="n"/>
      <c r="M16" s="17" t="n"/>
      <c r="N16" s="18">
        <f>IF(COUNT(B16:J16)=0,"",SUM(B16:J16))</f>
        <v/>
      </c>
      <c r="O16" s="19">
        <f>IF(COUNT(B16:J16)=0,"",(MIN(B16/'Daily KPIs'!$D$6,1)+MIN(C16/'Daily KPIs'!$D$7,1)+MIN(D16/'Daily KPIs'!$D$8,1)+MIN(E16/'Daily KPIs'!$D$9,1)+MIN(F16/'Daily KPIs'!$D$10,1)+MIN(G16/'Daily KPIs'!$D$11,1)+MIN(H16/'Daily KPIs'!$D$12,1)+MIN(I16/'Daily KPIs'!$D$13,1)+MIN(J16/'Daily KPIs'!$D$14,1))/9)</f>
        <v/>
      </c>
      <c r="P16" s="20" t="n"/>
    </row>
    <row r="17">
      <c r="A17" s="16" t="n">
        <v>46329</v>
      </c>
      <c r="B17" s="17" t="n"/>
      <c r="C17" s="17" t="n"/>
      <c r="D17" s="17" t="n"/>
      <c r="E17" s="17" t="n"/>
      <c r="F17" s="17" t="n"/>
      <c r="G17" s="17" t="n"/>
      <c r="H17" s="17" t="n"/>
      <c r="I17" s="17" t="n"/>
      <c r="J17" s="17" t="n"/>
      <c r="K17" s="17" t="n"/>
      <c r="L17" s="17" t="n"/>
      <c r="M17" s="17" t="n"/>
      <c r="N17" s="18">
        <f>IF(COUNT(B17:J17)=0,"",SUM(B17:J17))</f>
        <v/>
      </c>
      <c r="O17" s="19">
        <f>IF(COUNT(B17:J17)=0,"",(MIN(B17/'Daily KPIs'!$D$6,1)+MIN(C17/'Daily KPIs'!$D$7,1)+MIN(D17/'Daily KPIs'!$D$8,1)+MIN(E17/'Daily KPIs'!$D$9,1)+MIN(F17/'Daily KPIs'!$D$10,1)+MIN(G17/'Daily KPIs'!$D$11,1)+MIN(H17/'Daily KPIs'!$D$12,1)+MIN(I17/'Daily KPIs'!$D$13,1)+MIN(J17/'Daily KPIs'!$D$14,1))/9)</f>
        <v/>
      </c>
      <c r="P17" s="20" t="n"/>
    </row>
    <row r="18">
      <c r="A18" s="16" t="n">
        <v>46330</v>
      </c>
      <c r="B18" s="17" t="n"/>
      <c r="C18" s="17" t="n"/>
      <c r="D18" s="17" t="n"/>
      <c r="E18" s="17" t="n"/>
      <c r="F18" s="17" t="n"/>
      <c r="G18" s="17" t="n"/>
      <c r="H18" s="17" t="n"/>
      <c r="I18" s="17" t="n"/>
      <c r="J18" s="17" t="n"/>
      <c r="K18" s="17" t="n"/>
      <c r="L18" s="17" t="n"/>
      <c r="M18" s="17" t="n"/>
      <c r="N18" s="18">
        <f>IF(COUNT(B18:J18)=0,"",SUM(B18:J18))</f>
        <v/>
      </c>
      <c r="O18" s="19">
        <f>IF(COUNT(B18:J18)=0,"",(MIN(B18/'Daily KPIs'!$D$6,1)+MIN(C18/'Daily KPIs'!$D$7,1)+MIN(D18/'Daily KPIs'!$D$8,1)+MIN(E18/'Daily KPIs'!$D$9,1)+MIN(F18/'Daily KPIs'!$D$10,1)+MIN(G18/'Daily KPIs'!$D$11,1)+MIN(H18/'Daily KPIs'!$D$12,1)+MIN(I18/'Daily KPIs'!$D$13,1)+MIN(J18/'Daily KPIs'!$D$14,1))/9)</f>
        <v/>
      </c>
      <c r="P18" s="20" t="n"/>
    </row>
    <row r="19">
      <c r="A19" s="16" t="n">
        <v>46331</v>
      </c>
      <c r="B19" s="17" t="n"/>
      <c r="C19" s="17" t="n"/>
      <c r="D19" s="17" t="n"/>
      <c r="E19" s="17" t="n"/>
      <c r="F19" s="17" t="n"/>
      <c r="G19" s="17" t="n"/>
      <c r="H19" s="17" t="n"/>
      <c r="I19" s="17" t="n"/>
      <c r="J19" s="17" t="n"/>
      <c r="K19" s="17" t="n"/>
      <c r="L19" s="17" t="n"/>
      <c r="M19" s="17" t="n"/>
      <c r="N19" s="18">
        <f>IF(COUNT(B19:J19)=0,"",SUM(B19:J19))</f>
        <v/>
      </c>
      <c r="O19" s="19">
        <f>IF(COUNT(B19:J19)=0,"",(MIN(B19/'Daily KPIs'!$D$6,1)+MIN(C19/'Daily KPIs'!$D$7,1)+MIN(D19/'Daily KPIs'!$D$8,1)+MIN(E19/'Daily KPIs'!$D$9,1)+MIN(F19/'Daily KPIs'!$D$10,1)+MIN(G19/'Daily KPIs'!$D$11,1)+MIN(H19/'Daily KPIs'!$D$12,1)+MIN(I19/'Daily KPIs'!$D$13,1)+MIN(J19/'Daily KPIs'!$D$14,1))/9)</f>
        <v/>
      </c>
      <c r="P19" s="20" t="n"/>
    </row>
    <row r="20">
      <c r="A20" s="16" t="n">
        <v>46332</v>
      </c>
      <c r="B20" s="17" t="n"/>
      <c r="C20" s="17" t="n"/>
      <c r="D20" s="17" t="n"/>
      <c r="E20" s="17" t="n"/>
      <c r="F20" s="17" t="n"/>
      <c r="G20" s="17" t="n"/>
      <c r="H20" s="17" t="n"/>
      <c r="I20" s="17" t="n"/>
      <c r="J20" s="17" t="n"/>
      <c r="K20" s="17" t="n"/>
      <c r="L20" s="17" t="n"/>
      <c r="M20" s="17" t="n"/>
      <c r="N20" s="18">
        <f>IF(COUNT(B20:J20)=0,"",SUM(B20:J20))</f>
        <v/>
      </c>
      <c r="O20" s="19">
        <f>IF(COUNT(B20:J20)=0,"",(MIN(B20/'Daily KPIs'!$D$6,1)+MIN(C20/'Daily KPIs'!$D$7,1)+MIN(D20/'Daily KPIs'!$D$8,1)+MIN(E20/'Daily KPIs'!$D$9,1)+MIN(F20/'Daily KPIs'!$D$10,1)+MIN(G20/'Daily KPIs'!$D$11,1)+MIN(H20/'Daily KPIs'!$D$12,1)+MIN(I20/'Daily KPIs'!$D$13,1)+MIN(J20/'Daily KPIs'!$D$14,1))/9)</f>
        <v/>
      </c>
      <c r="P20" s="20" t="n"/>
    </row>
    <row r="21">
      <c r="A21" s="16" t="n">
        <v>46335</v>
      </c>
      <c r="B21" s="17" t="n"/>
      <c r="C21" s="17" t="n"/>
      <c r="D21" s="17" t="n"/>
      <c r="E21" s="17" t="n"/>
      <c r="F21" s="17" t="n"/>
      <c r="G21" s="17" t="n"/>
      <c r="H21" s="17" t="n"/>
      <c r="I21" s="17" t="n"/>
      <c r="J21" s="17" t="n"/>
      <c r="K21" s="17" t="n"/>
      <c r="L21" s="17" t="n"/>
      <c r="M21" s="17" t="n"/>
      <c r="N21" s="18">
        <f>IF(COUNT(B21:J21)=0,"",SUM(B21:J21))</f>
        <v/>
      </c>
      <c r="O21" s="19">
        <f>IF(COUNT(B21:J21)=0,"",(MIN(B21/'Daily KPIs'!$D$6,1)+MIN(C21/'Daily KPIs'!$D$7,1)+MIN(D21/'Daily KPIs'!$D$8,1)+MIN(E21/'Daily KPIs'!$D$9,1)+MIN(F21/'Daily KPIs'!$D$10,1)+MIN(G21/'Daily KPIs'!$D$11,1)+MIN(H21/'Daily KPIs'!$D$12,1)+MIN(I21/'Daily KPIs'!$D$13,1)+MIN(J21/'Daily KPIs'!$D$14,1))/9)</f>
        <v/>
      </c>
      <c r="P21" s="20" t="n"/>
    </row>
    <row r="22">
      <c r="A22" s="16" t="n">
        <v>46336</v>
      </c>
      <c r="B22" s="17" t="n"/>
      <c r="C22" s="17" t="n"/>
      <c r="D22" s="17" t="n"/>
      <c r="E22" s="17" t="n"/>
      <c r="F22" s="17" t="n"/>
      <c r="G22" s="17" t="n"/>
      <c r="H22" s="17" t="n"/>
      <c r="I22" s="17" t="n"/>
      <c r="J22" s="17" t="n"/>
      <c r="K22" s="17" t="n"/>
      <c r="L22" s="17" t="n"/>
      <c r="M22" s="17" t="n"/>
      <c r="N22" s="18">
        <f>IF(COUNT(B22:J22)=0,"",SUM(B22:J22))</f>
        <v/>
      </c>
      <c r="O22" s="19">
        <f>IF(COUNT(B22:J22)=0,"",(MIN(B22/'Daily KPIs'!$D$6,1)+MIN(C22/'Daily KPIs'!$D$7,1)+MIN(D22/'Daily KPIs'!$D$8,1)+MIN(E22/'Daily KPIs'!$D$9,1)+MIN(F22/'Daily KPIs'!$D$10,1)+MIN(G22/'Daily KPIs'!$D$11,1)+MIN(H22/'Daily KPIs'!$D$12,1)+MIN(I22/'Daily KPIs'!$D$13,1)+MIN(J22/'Daily KPIs'!$D$14,1))/9)</f>
        <v/>
      </c>
      <c r="P22" s="20" t="n"/>
    </row>
    <row r="23">
      <c r="A23" s="16" t="n">
        <v>46337</v>
      </c>
      <c r="B23" s="17" t="n"/>
      <c r="C23" s="17" t="n"/>
      <c r="D23" s="17" t="n"/>
      <c r="E23" s="17" t="n"/>
      <c r="F23" s="17" t="n"/>
      <c r="G23" s="17" t="n"/>
      <c r="H23" s="17" t="n"/>
      <c r="I23" s="17" t="n"/>
      <c r="J23" s="17" t="n"/>
      <c r="K23" s="17" t="n"/>
      <c r="L23" s="17" t="n"/>
      <c r="M23" s="17" t="n"/>
      <c r="N23" s="18">
        <f>IF(COUNT(B23:J23)=0,"",SUM(B23:J23))</f>
        <v/>
      </c>
      <c r="O23" s="19">
        <f>IF(COUNT(B23:J23)=0,"",(MIN(B23/'Daily KPIs'!$D$6,1)+MIN(C23/'Daily KPIs'!$D$7,1)+MIN(D23/'Daily KPIs'!$D$8,1)+MIN(E23/'Daily KPIs'!$D$9,1)+MIN(F23/'Daily KPIs'!$D$10,1)+MIN(G23/'Daily KPIs'!$D$11,1)+MIN(H23/'Daily KPIs'!$D$12,1)+MIN(I23/'Daily KPIs'!$D$13,1)+MIN(J23/'Daily KPIs'!$D$14,1))/9)</f>
        <v/>
      </c>
      <c r="P23" s="20" t="n"/>
    </row>
    <row r="24">
      <c r="A24" s="16" t="n">
        <v>46338</v>
      </c>
      <c r="B24" s="17" t="n"/>
      <c r="C24" s="17" t="n"/>
      <c r="D24" s="17" t="n"/>
      <c r="E24" s="17" t="n"/>
      <c r="F24" s="17" t="n"/>
      <c r="G24" s="17" t="n"/>
      <c r="H24" s="17" t="n"/>
      <c r="I24" s="17" t="n"/>
      <c r="J24" s="17" t="n"/>
      <c r="K24" s="17" t="n"/>
      <c r="L24" s="17" t="n"/>
      <c r="M24" s="17" t="n"/>
      <c r="N24" s="18">
        <f>IF(COUNT(B24:J24)=0,"",SUM(B24:J24))</f>
        <v/>
      </c>
      <c r="O24" s="19">
        <f>IF(COUNT(B24:J24)=0,"",(MIN(B24/'Daily KPIs'!$D$6,1)+MIN(C24/'Daily KPIs'!$D$7,1)+MIN(D24/'Daily KPIs'!$D$8,1)+MIN(E24/'Daily KPIs'!$D$9,1)+MIN(F24/'Daily KPIs'!$D$10,1)+MIN(G24/'Daily KPIs'!$D$11,1)+MIN(H24/'Daily KPIs'!$D$12,1)+MIN(I24/'Daily KPIs'!$D$13,1)+MIN(J24/'Daily KPIs'!$D$14,1))/9)</f>
        <v/>
      </c>
      <c r="P24" s="20" t="n"/>
    </row>
    <row r="25">
      <c r="A25" s="16" t="n">
        <v>46339</v>
      </c>
      <c r="B25" s="17" t="n"/>
      <c r="C25" s="17" t="n"/>
      <c r="D25" s="17" t="n"/>
      <c r="E25" s="17" t="n"/>
      <c r="F25" s="17" t="n"/>
      <c r="G25" s="17" t="n"/>
      <c r="H25" s="17" t="n"/>
      <c r="I25" s="17" t="n"/>
      <c r="J25" s="17" t="n"/>
      <c r="K25" s="17" t="n"/>
      <c r="L25" s="17" t="n"/>
      <c r="M25" s="17" t="n"/>
      <c r="N25" s="18">
        <f>IF(COUNT(B25:J25)=0,"",SUM(B25:J25))</f>
        <v/>
      </c>
      <c r="O25" s="19">
        <f>IF(COUNT(B25:J25)=0,"",(MIN(B25/'Daily KPIs'!$D$6,1)+MIN(C25/'Daily KPIs'!$D$7,1)+MIN(D25/'Daily KPIs'!$D$8,1)+MIN(E25/'Daily KPIs'!$D$9,1)+MIN(F25/'Daily KPIs'!$D$10,1)+MIN(G25/'Daily KPIs'!$D$11,1)+MIN(H25/'Daily KPIs'!$D$12,1)+MIN(I25/'Daily KPIs'!$D$13,1)+MIN(J25/'Daily KPIs'!$D$14,1))/9)</f>
        <v/>
      </c>
      <c r="P25" s="20" t="n"/>
    </row>
    <row r="26">
      <c r="A26" s="16" t="n">
        <v>46342</v>
      </c>
      <c r="B26" s="17" t="n"/>
      <c r="C26" s="17" t="n"/>
      <c r="D26" s="17" t="n"/>
      <c r="E26" s="17" t="n"/>
      <c r="F26" s="17" t="n"/>
      <c r="G26" s="17" t="n"/>
      <c r="H26" s="17" t="n"/>
      <c r="I26" s="17" t="n"/>
      <c r="J26" s="17" t="n"/>
      <c r="K26" s="17" t="n"/>
      <c r="L26" s="17" t="n"/>
      <c r="M26" s="17" t="n"/>
      <c r="N26" s="18">
        <f>IF(COUNT(B26:J26)=0,"",SUM(B26:J26))</f>
        <v/>
      </c>
      <c r="O26" s="19">
        <f>IF(COUNT(B26:J26)=0,"",(MIN(B26/'Daily KPIs'!$D$6,1)+MIN(C26/'Daily KPIs'!$D$7,1)+MIN(D26/'Daily KPIs'!$D$8,1)+MIN(E26/'Daily KPIs'!$D$9,1)+MIN(F26/'Daily KPIs'!$D$10,1)+MIN(G26/'Daily KPIs'!$D$11,1)+MIN(H26/'Daily KPIs'!$D$12,1)+MIN(I26/'Daily KPIs'!$D$13,1)+MIN(J26/'Daily KPIs'!$D$14,1))/9)</f>
        <v/>
      </c>
      <c r="P26" s="20" t="n"/>
    </row>
    <row r="27">
      <c r="A27" s="16" t="n">
        <v>46343</v>
      </c>
      <c r="B27" s="17" t="n"/>
      <c r="C27" s="17" t="n"/>
      <c r="D27" s="17" t="n"/>
      <c r="E27" s="17" t="n"/>
      <c r="F27" s="17" t="n"/>
      <c r="G27" s="17" t="n"/>
      <c r="H27" s="17" t="n"/>
      <c r="I27" s="17" t="n"/>
      <c r="J27" s="17" t="n"/>
      <c r="K27" s="17" t="n"/>
      <c r="L27" s="17" t="n"/>
      <c r="M27" s="17" t="n"/>
      <c r="N27" s="18">
        <f>IF(COUNT(B27:J27)=0,"",SUM(B27:J27))</f>
        <v/>
      </c>
      <c r="O27" s="19">
        <f>IF(COUNT(B27:J27)=0,"",(MIN(B27/'Daily KPIs'!$D$6,1)+MIN(C27/'Daily KPIs'!$D$7,1)+MIN(D27/'Daily KPIs'!$D$8,1)+MIN(E27/'Daily KPIs'!$D$9,1)+MIN(F27/'Daily KPIs'!$D$10,1)+MIN(G27/'Daily KPIs'!$D$11,1)+MIN(H27/'Daily KPIs'!$D$12,1)+MIN(I27/'Daily KPIs'!$D$13,1)+MIN(J27/'Daily KPIs'!$D$14,1))/9)</f>
        <v/>
      </c>
      <c r="P27" s="20" t="n"/>
    </row>
    <row r="28">
      <c r="A28" s="16" t="n">
        <v>46344</v>
      </c>
      <c r="B28" s="17" t="n"/>
      <c r="C28" s="17" t="n"/>
      <c r="D28" s="17" t="n"/>
      <c r="E28" s="17" t="n"/>
      <c r="F28" s="17" t="n"/>
      <c r="G28" s="17" t="n"/>
      <c r="H28" s="17" t="n"/>
      <c r="I28" s="17" t="n"/>
      <c r="J28" s="17" t="n"/>
      <c r="K28" s="17" t="n"/>
      <c r="L28" s="17" t="n"/>
      <c r="M28" s="17" t="n"/>
      <c r="N28" s="18">
        <f>IF(COUNT(B28:J28)=0,"",SUM(B28:J28))</f>
        <v/>
      </c>
      <c r="O28" s="19">
        <f>IF(COUNT(B28:J28)=0,"",(MIN(B28/'Daily KPIs'!$D$6,1)+MIN(C28/'Daily KPIs'!$D$7,1)+MIN(D28/'Daily KPIs'!$D$8,1)+MIN(E28/'Daily KPIs'!$D$9,1)+MIN(F28/'Daily KPIs'!$D$10,1)+MIN(G28/'Daily KPIs'!$D$11,1)+MIN(H28/'Daily KPIs'!$D$12,1)+MIN(I28/'Daily KPIs'!$D$13,1)+MIN(J28/'Daily KPIs'!$D$14,1))/9)</f>
        <v/>
      </c>
      <c r="P28" s="20" t="n"/>
    </row>
    <row r="29">
      <c r="A29" s="16" t="n">
        <v>46345</v>
      </c>
      <c r="B29" s="17" t="n"/>
      <c r="C29" s="17" t="n"/>
      <c r="D29" s="17" t="n"/>
      <c r="E29" s="17" t="n"/>
      <c r="F29" s="17" t="n"/>
      <c r="G29" s="17" t="n"/>
      <c r="H29" s="17" t="n"/>
      <c r="I29" s="17" t="n"/>
      <c r="J29" s="17" t="n"/>
      <c r="K29" s="17" t="n"/>
      <c r="L29" s="17" t="n"/>
      <c r="M29" s="17" t="n"/>
      <c r="N29" s="18">
        <f>IF(COUNT(B29:J29)=0,"",SUM(B29:J29))</f>
        <v/>
      </c>
      <c r="O29" s="19">
        <f>IF(COUNT(B29:J29)=0,"",(MIN(B29/'Daily KPIs'!$D$6,1)+MIN(C29/'Daily KPIs'!$D$7,1)+MIN(D29/'Daily KPIs'!$D$8,1)+MIN(E29/'Daily KPIs'!$D$9,1)+MIN(F29/'Daily KPIs'!$D$10,1)+MIN(G29/'Daily KPIs'!$D$11,1)+MIN(H29/'Daily KPIs'!$D$12,1)+MIN(I29/'Daily KPIs'!$D$13,1)+MIN(J29/'Daily KPIs'!$D$14,1))/9)</f>
        <v/>
      </c>
      <c r="P29" s="20" t="n"/>
    </row>
    <row r="30">
      <c r="A30" s="16" t="n">
        <v>46346</v>
      </c>
      <c r="B30" s="17" t="n"/>
      <c r="C30" s="17" t="n"/>
      <c r="D30" s="17" t="n"/>
      <c r="E30" s="17" t="n"/>
      <c r="F30" s="17" t="n"/>
      <c r="G30" s="17" t="n"/>
      <c r="H30" s="17" t="n"/>
      <c r="I30" s="17" t="n"/>
      <c r="J30" s="17" t="n"/>
      <c r="K30" s="17" t="n"/>
      <c r="L30" s="17" t="n"/>
      <c r="M30" s="17" t="n"/>
      <c r="N30" s="18">
        <f>IF(COUNT(B30:J30)=0,"",SUM(B30:J30))</f>
        <v/>
      </c>
      <c r="O30" s="19">
        <f>IF(COUNT(B30:J30)=0,"",(MIN(B30/'Daily KPIs'!$D$6,1)+MIN(C30/'Daily KPIs'!$D$7,1)+MIN(D30/'Daily KPIs'!$D$8,1)+MIN(E30/'Daily KPIs'!$D$9,1)+MIN(F30/'Daily KPIs'!$D$10,1)+MIN(G30/'Daily KPIs'!$D$11,1)+MIN(H30/'Daily KPIs'!$D$12,1)+MIN(I30/'Daily KPIs'!$D$13,1)+MIN(J30/'Daily KPIs'!$D$14,1))/9)</f>
        <v/>
      </c>
      <c r="P30" s="20" t="n"/>
    </row>
    <row r="31">
      <c r="A31" s="16" t="n">
        <v>46349</v>
      </c>
      <c r="B31" s="17" t="n"/>
      <c r="C31" s="17" t="n"/>
      <c r="D31" s="17" t="n"/>
      <c r="E31" s="17" t="n"/>
      <c r="F31" s="17" t="n"/>
      <c r="G31" s="17" t="n"/>
      <c r="H31" s="17" t="n"/>
      <c r="I31" s="17" t="n"/>
      <c r="J31" s="17" t="n"/>
      <c r="K31" s="17" t="n"/>
      <c r="L31" s="17" t="n"/>
      <c r="M31" s="17" t="n"/>
      <c r="N31" s="18">
        <f>IF(COUNT(B31:J31)=0,"",SUM(B31:J31))</f>
        <v/>
      </c>
      <c r="O31" s="19">
        <f>IF(COUNT(B31:J31)=0,"",(MIN(B31/'Daily KPIs'!$D$6,1)+MIN(C31/'Daily KPIs'!$D$7,1)+MIN(D31/'Daily KPIs'!$D$8,1)+MIN(E31/'Daily KPIs'!$D$9,1)+MIN(F31/'Daily KPIs'!$D$10,1)+MIN(G31/'Daily KPIs'!$D$11,1)+MIN(H31/'Daily KPIs'!$D$12,1)+MIN(I31/'Daily KPIs'!$D$13,1)+MIN(J31/'Daily KPIs'!$D$14,1))/9)</f>
        <v/>
      </c>
      <c r="P31" s="20" t="n"/>
    </row>
    <row r="32">
      <c r="A32" s="16" t="n">
        <v>46350</v>
      </c>
      <c r="B32" s="17" t="n"/>
      <c r="C32" s="17" t="n"/>
      <c r="D32" s="17" t="n"/>
      <c r="E32" s="17" t="n"/>
      <c r="F32" s="17" t="n"/>
      <c r="G32" s="17" t="n"/>
      <c r="H32" s="17" t="n"/>
      <c r="I32" s="17" t="n"/>
      <c r="J32" s="17" t="n"/>
      <c r="K32" s="17" t="n"/>
      <c r="L32" s="17" t="n"/>
      <c r="M32" s="17" t="n"/>
      <c r="N32" s="18">
        <f>IF(COUNT(B32:J32)=0,"",SUM(B32:J32))</f>
        <v/>
      </c>
      <c r="O32" s="19">
        <f>IF(COUNT(B32:J32)=0,"",(MIN(B32/'Daily KPIs'!$D$6,1)+MIN(C32/'Daily KPIs'!$D$7,1)+MIN(D32/'Daily KPIs'!$D$8,1)+MIN(E32/'Daily KPIs'!$D$9,1)+MIN(F32/'Daily KPIs'!$D$10,1)+MIN(G32/'Daily KPIs'!$D$11,1)+MIN(H32/'Daily KPIs'!$D$12,1)+MIN(I32/'Daily KPIs'!$D$13,1)+MIN(J32/'Daily KPIs'!$D$14,1))/9)</f>
        <v/>
      </c>
      <c r="P32" s="20" t="n"/>
    </row>
    <row r="33">
      <c r="A33" s="16" t="n">
        <v>46351</v>
      </c>
      <c r="B33" s="17" t="n"/>
      <c r="C33" s="17" t="n"/>
      <c r="D33" s="17" t="n"/>
      <c r="E33" s="17" t="n"/>
      <c r="F33" s="17" t="n"/>
      <c r="G33" s="17" t="n"/>
      <c r="H33" s="17" t="n"/>
      <c r="I33" s="17" t="n"/>
      <c r="J33" s="17" t="n"/>
      <c r="K33" s="17" t="n"/>
      <c r="L33" s="17" t="n"/>
      <c r="M33" s="17" t="n"/>
      <c r="N33" s="18">
        <f>IF(COUNT(B33:J33)=0,"",SUM(B33:J33))</f>
        <v/>
      </c>
      <c r="O33" s="19">
        <f>IF(COUNT(B33:J33)=0,"",(MIN(B33/'Daily KPIs'!$D$6,1)+MIN(C33/'Daily KPIs'!$D$7,1)+MIN(D33/'Daily KPIs'!$D$8,1)+MIN(E33/'Daily KPIs'!$D$9,1)+MIN(F33/'Daily KPIs'!$D$10,1)+MIN(G33/'Daily KPIs'!$D$11,1)+MIN(H33/'Daily KPIs'!$D$12,1)+MIN(I33/'Daily KPIs'!$D$13,1)+MIN(J33/'Daily KPIs'!$D$14,1))/9)</f>
        <v/>
      </c>
      <c r="P33" s="20" t="n"/>
    </row>
    <row r="34">
      <c r="A34" s="16" t="n">
        <v>46352</v>
      </c>
      <c r="B34" s="17" t="n"/>
      <c r="C34" s="17" t="n"/>
      <c r="D34" s="17" t="n"/>
      <c r="E34" s="17" t="n"/>
      <c r="F34" s="17" t="n"/>
      <c r="G34" s="17" t="n"/>
      <c r="H34" s="17" t="n"/>
      <c r="I34" s="17" t="n"/>
      <c r="J34" s="17" t="n"/>
      <c r="K34" s="17" t="n"/>
      <c r="L34" s="17" t="n"/>
      <c r="M34" s="17" t="n"/>
      <c r="N34" s="18">
        <f>IF(COUNT(B34:J34)=0,"",SUM(B34:J34))</f>
        <v/>
      </c>
      <c r="O34" s="19">
        <f>IF(COUNT(B34:J34)=0,"",(MIN(B34/'Daily KPIs'!$D$6,1)+MIN(C34/'Daily KPIs'!$D$7,1)+MIN(D34/'Daily KPIs'!$D$8,1)+MIN(E34/'Daily KPIs'!$D$9,1)+MIN(F34/'Daily KPIs'!$D$10,1)+MIN(G34/'Daily KPIs'!$D$11,1)+MIN(H34/'Daily KPIs'!$D$12,1)+MIN(I34/'Daily KPIs'!$D$13,1)+MIN(J34/'Daily KPIs'!$D$14,1))/9)</f>
        <v/>
      </c>
      <c r="P34" s="20" t="n"/>
    </row>
    <row r="35">
      <c r="A35" s="16" t="n">
        <v>46353</v>
      </c>
      <c r="B35" s="17" t="n"/>
      <c r="C35" s="17" t="n"/>
      <c r="D35" s="17" t="n"/>
      <c r="E35" s="17" t="n"/>
      <c r="F35" s="17" t="n"/>
      <c r="G35" s="17" t="n"/>
      <c r="H35" s="17" t="n"/>
      <c r="I35" s="17" t="n"/>
      <c r="J35" s="17" t="n"/>
      <c r="K35" s="17" t="n"/>
      <c r="L35" s="17" t="n"/>
      <c r="M35" s="17" t="n"/>
      <c r="N35" s="18">
        <f>IF(COUNT(B35:J35)=0,"",SUM(B35:J35))</f>
        <v/>
      </c>
      <c r="O35" s="19">
        <f>IF(COUNT(B35:J35)=0,"",(MIN(B35/'Daily KPIs'!$D$6,1)+MIN(C35/'Daily KPIs'!$D$7,1)+MIN(D35/'Daily KPIs'!$D$8,1)+MIN(E35/'Daily KPIs'!$D$9,1)+MIN(F35/'Daily KPIs'!$D$10,1)+MIN(G35/'Daily KPIs'!$D$11,1)+MIN(H35/'Daily KPIs'!$D$12,1)+MIN(I35/'Daily KPIs'!$D$13,1)+MIN(J35/'Daily KPIs'!$D$14,1))/9)</f>
        <v/>
      </c>
      <c r="P35" s="20" t="n"/>
    </row>
    <row r="36">
      <c r="A36" s="16" t="n">
        <v>46356</v>
      </c>
      <c r="B36" s="17" t="n"/>
      <c r="C36" s="17" t="n"/>
      <c r="D36" s="17" t="n"/>
      <c r="E36" s="17" t="n"/>
      <c r="F36" s="17" t="n"/>
      <c r="G36" s="17" t="n"/>
      <c r="H36" s="17" t="n"/>
      <c r="I36" s="17" t="n"/>
      <c r="J36" s="17" t="n"/>
      <c r="K36" s="17" t="n"/>
      <c r="L36" s="17" t="n"/>
      <c r="M36" s="17" t="n"/>
      <c r="N36" s="18">
        <f>IF(COUNT(B36:J36)=0,"",SUM(B36:J36))</f>
        <v/>
      </c>
      <c r="O36" s="19">
        <f>IF(COUNT(B36:J36)=0,"",(MIN(B36/'Daily KPIs'!$D$6,1)+MIN(C36/'Daily KPIs'!$D$7,1)+MIN(D36/'Daily KPIs'!$D$8,1)+MIN(E36/'Daily KPIs'!$D$9,1)+MIN(F36/'Daily KPIs'!$D$10,1)+MIN(G36/'Daily KPIs'!$D$11,1)+MIN(H36/'Daily KPIs'!$D$12,1)+MIN(I36/'Daily KPIs'!$D$13,1)+MIN(J36/'Daily KPIs'!$D$14,1))/9)</f>
        <v/>
      </c>
      <c r="P36" s="20" t="n"/>
    </row>
    <row r="37">
      <c r="A37" s="16" t="n">
        <v>46357</v>
      </c>
      <c r="B37" s="17" t="n"/>
      <c r="C37" s="17" t="n"/>
      <c r="D37" s="17" t="n"/>
      <c r="E37" s="17" t="n"/>
      <c r="F37" s="17" t="n"/>
      <c r="G37" s="17" t="n"/>
      <c r="H37" s="17" t="n"/>
      <c r="I37" s="17" t="n"/>
      <c r="J37" s="17" t="n"/>
      <c r="K37" s="17" t="n"/>
      <c r="L37" s="17" t="n"/>
      <c r="M37" s="17" t="n"/>
      <c r="N37" s="18">
        <f>IF(COUNT(B37:J37)=0,"",SUM(B37:J37))</f>
        <v/>
      </c>
      <c r="O37" s="19">
        <f>IF(COUNT(B37:J37)=0,"",(MIN(B37/'Daily KPIs'!$D$6,1)+MIN(C37/'Daily KPIs'!$D$7,1)+MIN(D37/'Daily KPIs'!$D$8,1)+MIN(E37/'Daily KPIs'!$D$9,1)+MIN(F37/'Daily KPIs'!$D$10,1)+MIN(G37/'Daily KPIs'!$D$11,1)+MIN(H37/'Daily KPIs'!$D$12,1)+MIN(I37/'Daily KPIs'!$D$13,1)+MIN(J37/'Daily KPIs'!$D$14,1))/9)</f>
        <v/>
      </c>
      <c r="P37" s="20" t="n"/>
    </row>
    <row r="38">
      <c r="A38" s="16" t="n">
        <v>46358</v>
      </c>
      <c r="B38" s="17" t="n"/>
      <c r="C38" s="17" t="n"/>
      <c r="D38" s="17" t="n"/>
      <c r="E38" s="17" t="n"/>
      <c r="F38" s="17" t="n"/>
      <c r="G38" s="17" t="n"/>
      <c r="H38" s="17" t="n"/>
      <c r="I38" s="17" t="n"/>
      <c r="J38" s="17" t="n"/>
      <c r="K38" s="17" t="n"/>
      <c r="L38" s="17" t="n"/>
      <c r="M38" s="17" t="n"/>
      <c r="N38" s="18">
        <f>IF(COUNT(B38:J38)=0,"",SUM(B38:J38))</f>
        <v/>
      </c>
      <c r="O38" s="19">
        <f>IF(COUNT(B38:J38)=0,"",(MIN(B38/'Daily KPIs'!$D$6,1)+MIN(C38/'Daily KPIs'!$D$7,1)+MIN(D38/'Daily KPIs'!$D$8,1)+MIN(E38/'Daily KPIs'!$D$9,1)+MIN(F38/'Daily KPIs'!$D$10,1)+MIN(G38/'Daily KPIs'!$D$11,1)+MIN(H38/'Daily KPIs'!$D$12,1)+MIN(I38/'Daily KPIs'!$D$13,1)+MIN(J38/'Daily KPIs'!$D$14,1))/9)</f>
        <v/>
      </c>
      <c r="P38" s="20" t="n"/>
    </row>
    <row r="39">
      <c r="A39" s="16" t="n">
        <v>46359</v>
      </c>
      <c r="B39" s="17" t="n"/>
      <c r="C39" s="17" t="n"/>
      <c r="D39" s="17" t="n"/>
      <c r="E39" s="17" t="n"/>
      <c r="F39" s="17" t="n"/>
      <c r="G39" s="17" t="n"/>
      <c r="H39" s="17" t="n"/>
      <c r="I39" s="17" t="n"/>
      <c r="J39" s="17" t="n"/>
      <c r="K39" s="17" t="n"/>
      <c r="L39" s="17" t="n"/>
      <c r="M39" s="17" t="n"/>
      <c r="N39" s="18">
        <f>IF(COUNT(B39:J39)=0,"",SUM(B39:J39))</f>
        <v/>
      </c>
      <c r="O39" s="19">
        <f>IF(COUNT(B39:J39)=0,"",(MIN(B39/'Daily KPIs'!$D$6,1)+MIN(C39/'Daily KPIs'!$D$7,1)+MIN(D39/'Daily KPIs'!$D$8,1)+MIN(E39/'Daily KPIs'!$D$9,1)+MIN(F39/'Daily KPIs'!$D$10,1)+MIN(G39/'Daily KPIs'!$D$11,1)+MIN(H39/'Daily KPIs'!$D$12,1)+MIN(I39/'Daily KPIs'!$D$13,1)+MIN(J39/'Daily KPIs'!$D$14,1))/9)</f>
        <v/>
      </c>
      <c r="P39" s="20" t="n"/>
    </row>
    <row r="40">
      <c r="A40" s="16" t="n">
        <v>46360</v>
      </c>
      <c r="B40" s="17" t="n"/>
      <c r="C40" s="17" t="n"/>
      <c r="D40" s="17" t="n"/>
      <c r="E40" s="17" t="n"/>
      <c r="F40" s="17" t="n"/>
      <c r="G40" s="17" t="n"/>
      <c r="H40" s="17" t="n"/>
      <c r="I40" s="17" t="n"/>
      <c r="J40" s="17" t="n"/>
      <c r="K40" s="17" t="n"/>
      <c r="L40" s="17" t="n"/>
      <c r="M40" s="17" t="n"/>
      <c r="N40" s="18">
        <f>IF(COUNT(B40:J40)=0,"",SUM(B40:J40))</f>
        <v/>
      </c>
      <c r="O40" s="19">
        <f>IF(COUNT(B40:J40)=0,"",(MIN(B40/'Daily KPIs'!$D$6,1)+MIN(C40/'Daily KPIs'!$D$7,1)+MIN(D40/'Daily KPIs'!$D$8,1)+MIN(E40/'Daily KPIs'!$D$9,1)+MIN(F40/'Daily KPIs'!$D$10,1)+MIN(G40/'Daily KPIs'!$D$11,1)+MIN(H40/'Daily KPIs'!$D$12,1)+MIN(I40/'Daily KPIs'!$D$13,1)+MIN(J40/'Daily KPIs'!$D$14,1))/9)</f>
        <v/>
      </c>
      <c r="P40" s="20" t="n"/>
    </row>
    <row r="41">
      <c r="A41" s="16" t="n">
        <v>46363</v>
      </c>
      <c r="B41" s="17" t="n"/>
      <c r="C41" s="17" t="n"/>
      <c r="D41" s="17" t="n"/>
      <c r="E41" s="17" t="n"/>
      <c r="F41" s="17" t="n"/>
      <c r="G41" s="17" t="n"/>
      <c r="H41" s="17" t="n"/>
      <c r="I41" s="17" t="n"/>
      <c r="J41" s="17" t="n"/>
      <c r="K41" s="17" t="n"/>
      <c r="L41" s="17" t="n"/>
      <c r="M41" s="17" t="n"/>
      <c r="N41" s="18">
        <f>IF(COUNT(B41:J41)=0,"",SUM(B41:J41))</f>
        <v/>
      </c>
      <c r="O41" s="19">
        <f>IF(COUNT(B41:J41)=0,"",(MIN(B41/'Daily KPIs'!$D$6,1)+MIN(C41/'Daily KPIs'!$D$7,1)+MIN(D41/'Daily KPIs'!$D$8,1)+MIN(E41/'Daily KPIs'!$D$9,1)+MIN(F41/'Daily KPIs'!$D$10,1)+MIN(G41/'Daily KPIs'!$D$11,1)+MIN(H41/'Daily KPIs'!$D$12,1)+MIN(I41/'Daily KPIs'!$D$13,1)+MIN(J41/'Daily KPIs'!$D$14,1))/9)</f>
        <v/>
      </c>
      <c r="P41" s="20" t="n"/>
    </row>
    <row r="42">
      <c r="A42" s="16" t="n">
        <v>46364</v>
      </c>
      <c r="B42" s="17" t="n"/>
      <c r="C42" s="17" t="n"/>
      <c r="D42" s="17" t="n"/>
      <c r="E42" s="17" t="n"/>
      <c r="F42" s="17" t="n"/>
      <c r="G42" s="17" t="n"/>
      <c r="H42" s="17" t="n"/>
      <c r="I42" s="17" t="n"/>
      <c r="J42" s="17" t="n"/>
      <c r="K42" s="17" t="n"/>
      <c r="L42" s="17" t="n"/>
      <c r="M42" s="17" t="n"/>
      <c r="N42" s="18">
        <f>IF(COUNT(B42:J42)=0,"",SUM(B42:J42))</f>
        <v/>
      </c>
      <c r="O42" s="19">
        <f>IF(COUNT(B42:J42)=0,"",(MIN(B42/'Daily KPIs'!$D$6,1)+MIN(C42/'Daily KPIs'!$D$7,1)+MIN(D42/'Daily KPIs'!$D$8,1)+MIN(E42/'Daily KPIs'!$D$9,1)+MIN(F42/'Daily KPIs'!$D$10,1)+MIN(G42/'Daily KPIs'!$D$11,1)+MIN(H42/'Daily KPIs'!$D$12,1)+MIN(I42/'Daily KPIs'!$D$13,1)+MIN(J42/'Daily KPIs'!$D$14,1))/9)</f>
        <v/>
      </c>
      <c r="P42" s="20" t="n"/>
    </row>
    <row r="43">
      <c r="A43" s="16" t="n">
        <v>46365</v>
      </c>
      <c r="B43" s="17" t="n"/>
      <c r="C43" s="17" t="n"/>
      <c r="D43" s="17" t="n"/>
      <c r="E43" s="17" t="n"/>
      <c r="F43" s="17" t="n"/>
      <c r="G43" s="17" t="n"/>
      <c r="H43" s="17" t="n"/>
      <c r="I43" s="17" t="n"/>
      <c r="J43" s="17" t="n"/>
      <c r="K43" s="17" t="n"/>
      <c r="L43" s="17" t="n"/>
      <c r="M43" s="17" t="n"/>
      <c r="N43" s="18">
        <f>IF(COUNT(B43:J43)=0,"",SUM(B43:J43))</f>
        <v/>
      </c>
      <c r="O43" s="19">
        <f>IF(COUNT(B43:J43)=0,"",(MIN(B43/'Daily KPIs'!$D$6,1)+MIN(C43/'Daily KPIs'!$D$7,1)+MIN(D43/'Daily KPIs'!$D$8,1)+MIN(E43/'Daily KPIs'!$D$9,1)+MIN(F43/'Daily KPIs'!$D$10,1)+MIN(G43/'Daily KPIs'!$D$11,1)+MIN(H43/'Daily KPIs'!$D$12,1)+MIN(I43/'Daily KPIs'!$D$13,1)+MIN(J43/'Daily KPIs'!$D$14,1))/9)</f>
        <v/>
      </c>
      <c r="P43" s="20" t="n"/>
    </row>
    <row r="44">
      <c r="A44" s="16" t="n">
        <v>46366</v>
      </c>
      <c r="B44" s="17" t="n"/>
      <c r="C44" s="17" t="n"/>
      <c r="D44" s="17" t="n"/>
      <c r="E44" s="17" t="n"/>
      <c r="F44" s="17" t="n"/>
      <c r="G44" s="17" t="n"/>
      <c r="H44" s="17" t="n"/>
      <c r="I44" s="17" t="n"/>
      <c r="J44" s="17" t="n"/>
      <c r="K44" s="17" t="n"/>
      <c r="L44" s="17" t="n"/>
      <c r="M44" s="17" t="n"/>
      <c r="N44" s="18">
        <f>IF(COUNT(B44:J44)=0,"",SUM(B44:J44))</f>
        <v/>
      </c>
      <c r="O44" s="19">
        <f>IF(COUNT(B44:J44)=0,"",(MIN(B44/'Daily KPIs'!$D$6,1)+MIN(C44/'Daily KPIs'!$D$7,1)+MIN(D44/'Daily KPIs'!$D$8,1)+MIN(E44/'Daily KPIs'!$D$9,1)+MIN(F44/'Daily KPIs'!$D$10,1)+MIN(G44/'Daily KPIs'!$D$11,1)+MIN(H44/'Daily KPIs'!$D$12,1)+MIN(I44/'Daily KPIs'!$D$13,1)+MIN(J44/'Daily KPIs'!$D$14,1))/9)</f>
        <v/>
      </c>
      <c r="P44" s="20" t="n"/>
    </row>
    <row r="45">
      <c r="A45" s="16" t="n">
        <v>46367</v>
      </c>
      <c r="B45" s="17" t="n"/>
      <c r="C45" s="17" t="n"/>
      <c r="D45" s="17" t="n"/>
      <c r="E45" s="17" t="n"/>
      <c r="F45" s="17" t="n"/>
      <c r="G45" s="17" t="n"/>
      <c r="H45" s="17" t="n"/>
      <c r="I45" s="17" t="n"/>
      <c r="J45" s="17" t="n"/>
      <c r="K45" s="17" t="n"/>
      <c r="L45" s="17" t="n"/>
      <c r="M45" s="17" t="n"/>
      <c r="N45" s="18">
        <f>IF(COUNT(B45:J45)=0,"",SUM(B45:J45))</f>
        <v/>
      </c>
      <c r="O45" s="19">
        <f>IF(COUNT(B45:J45)=0,"",(MIN(B45/'Daily KPIs'!$D$6,1)+MIN(C45/'Daily KPIs'!$D$7,1)+MIN(D45/'Daily KPIs'!$D$8,1)+MIN(E45/'Daily KPIs'!$D$9,1)+MIN(F45/'Daily KPIs'!$D$10,1)+MIN(G45/'Daily KPIs'!$D$11,1)+MIN(H45/'Daily KPIs'!$D$12,1)+MIN(I45/'Daily KPIs'!$D$13,1)+MIN(J45/'Daily KPIs'!$D$14,1))/9)</f>
        <v/>
      </c>
      <c r="P45" s="20" t="n"/>
    </row>
    <row r="46"/>
    <row r="47">
      <c r="A47" s="5" t="inlineStr">
        <is>
          <t>Totals</t>
        </is>
      </c>
      <c r="B47" s="21">
        <f>SUM(B6:B45)</f>
        <v/>
      </c>
      <c r="C47" s="21">
        <f>SUM(C6:C45)</f>
        <v/>
      </c>
      <c r="D47" s="21">
        <f>SUM(D6:D45)</f>
        <v/>
      </c>
      <c r="E47" s="21">
        <f>SUM(E6:E45)</f>
        <v/>
      </c>
      <c r="F47" s="21">
        <f>SUM(F6:F45)</f>
        <v/>
      </c>
      <c r="G47" s="21">
        <f>SUM(G6:G45)</f>
        <v/>
      </c>
      <c r="H47" s="21">
        <f>SUM(H6:H45)</f>
        <v/>
      </c>
      <c r="I47" s="21">
        <f>SUM(I6:I45)</f>
        <v/>
      </c>
      <c r="J47" s="21">
        <f>SUM(J6:J45)</f>
        <v/>
      </c>
      <c r="K47" s="21">
        <f>SUM(K6:K45)</f>
        <v/>
      </c>
      <c r="L47" s="21">
        <f>SUM(L6:L45)</f>
        <v/>
      </c>
      <c r="M47" s="21">
        <f>SUM(M6:M45)</f>
        <v/>
      </c>
      <c r="N47" s="21">
        <f>SUM(N6:N45)</f>
        <v/>
      </c>
    </row>
    <row r="48">
      <c r="A48" s="5" t="inlineStr">
        <is>
          <t>Avg score</t>
        </is>
      </c>
      <c r="O48" s="22">
        <f>IFERROR(AVERAGE(O6:O45),"-")</f>
        <v/>
      </c>
    </row>
    <row r="49">
      <c r="A49" s="2" t="inlineStr">
        <is>
          <t>Add more dated rows above the Totals row when you run out; copy the formulas in N and O down.</t>
        </is>
      </c>
    </row>
  </sheetData>
  <conditionalFormatting sqref="O6:O45">
    <cfRule type="expression" priority="1" dxfId="0">
      <formula>AND(O6&lt;&gt;"",O6&gt;=0.9)</formula>
    </cfRule>
    <cfRule type="expression" priority="2" dxfId="2">
      <formula>AND(O6&lt;&gt;"",O6&lt;0.7)</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70" customWidth="1" min="7" max="7"/>
  </cols>
  <sheetData>
    <row r="1">
      <c r="A1" s="1" t="inlineStr">
        <is>
          <t>Funnel Math</t>
        </is>
      </c>
    </row>
    <row r="2">
      <c r="A2" s="2" t="inlineStr">
        <is>
          <t>What the daily KPIs should produce. Yellow = planning assumptions: replace with your real rates after two weeks.</t>
        </is>
      </c>
    </row>
    <row r="3"/>
    <row r="4">
      <c r="A4" s="9" t="inlineStr">
        <is>
          <t>Line</t>
        </is>
      </c>
      <c r="B4" s="9" t="inlineStr">
        <is>
          <t>LinkedIn</t>
        </is>
      </c>
      <c r="C4" s="9" t="inlineStr">
        <is>
          <t>Facebook</t>
        </is>
      </c>
      <c r="D4" s="9" t="inlineStr">
        <is>
          <t>Email</t>
        </is>
      </c>
      <c r="E4" s="9" t="inlineStr">
        <is>
          <t>Reddit</t>
        </is>
      </c>
      <c r="F4" s="9" t="inlineStr">
        <is>
          <t>Total</t>
        </is>
      </c>
      <c r="G4" s="9" t="inlineStr">
        <is>
          <t>Note</t>
        </is>
      </c>
    </row>
    <row r="5">
      <c r="A5" s="10" t="inlineStr">
        <is>
          <t>Daily touches (from Daily KPIs)</t>
        </is>
      </c>
      <c r="B5" s="23">
        <f>'Daily KPIs'!D6</f>
        <v/>
      </c>
      <c r="C5" s="23">
        <f>'Daily KPIs'!D9+'Daily KPIs'!D10+'Daily KPIs'!D11</f>
        <v/>
      </c>
      <c r="D5" s="23">
        <f>'Daily KPIs'!D12</f>
        <v/>
      </c>
      <c r="E5" s="23">
        <f>'Daily KPIs'!D13</f>
        <v/>
      </c>
      <c r="F5" s="23">
        <f>SUM(B5:E5)</f>
        <v/>
      </c>
      <c r="G5" s="10" t="inlineStr">
        <is>
          <t>LinkedIn counts connection requests; Facebook counts comments + request replies + warm DMs.</t>
        </is>
      </c>
    </row>
    <row r="6">
      <c r="A6" s="10" t="inlineStr">
        <is>
          <t>Working days per month</t>
        </is>
      </c>
      <c r="B6" s="11" t="n">
        <v>22</v>
      </c>
      <c r="C6" s="11" t="n">
        <v>22</v>
      </c>
      <c r="D6" s="11" t="n">
        <v>22</v>
      </c>
      <c r="E6" s="11" t="n">
        <v>22</v>
      </c>
      <c r="F6" s="10" t="inlineStr"/>
      <c r="G6" s="10" t="inlineStr">
        <is>
          <t>Weekdays only.</t>
        </is>
      </c>
    </row>
    <row r="7">
      <c r="A7" s="10" t="inlineStr">
        <is>
          <t>Monthly touches</t>
        </is>
      </c>
      <c r="B7" s="23">
        <f>B5*B6</f>
        <v/>
      </c>
      <c r="C7" s="23">
        <f>C5*C6</f>
        <v/>
      </c>
      <c r="D7" s="23">
        <f>D5*D6</f>
        <v/>
      </c>
      <c r="E7" s="23">
        <f>E5*E6</f>
        <v/>
      </c>
      <c r="F7" s="23">
        <f>SUM(B7:E7)</f>
        <v/>
      </c>
      <c r="G7" s="10" t="inlineStr"/>
    </row>
    <row r="8">
      <c r="A8" s="10" t="inlineStr">
        <is>
          <t>Conversation rate (touch → real conversation)</t>
        </is>
      </c>
      <c r="B8" s="24" t="n">
        <v>0.06</v>
      </c>
      <c r="C8" s="24" t="n">
        <v>0.08</v>
      </c>
      <c r="D8" s="24" t="n">
        <v>0.015</v>
      </c>
      <c r="E8" s="24" t="n">
        <v>0.2</v>
      </c>
      <c r="F8" s="10" t="inlineStr"/>
      <c r="G8" s="10" t="inlineStr">
        <is>
          <t>Planning assumptions, not measured. LinkedIn ≈ 30% accept × 20% reply. Email ≈ 3% reply × 50% positive. Facebook mixes comments (low) and replies to people asking (high). Reddit counts only buying-intent posts.</t>
        </is>
      </c>
    </row>
    <row r="9">
      <c r="A9" s="10" t="inlineStr">
        <is>
          <t>Conversations per month</t>
        </is>
      </c>
      <c r="B9" s="23">
        <f>B7*B8</f>
        <v/>
      </c>
      <c r="C9" s="23">
        <f>C7*C8</f>
        <v/>
      </c>
      <c r="D9" s="23">
        <f>D7*D8</f>
        <v/>
      </c>
      <c r="E9" s="23">
        <f>E7*E8</f>
        <v/>
      </c>
      <c r="F9" s="23">
        <f>SUM(B9:E9)</f>
        <v/>
      </c>
      <c r="G9" s="10" t="inlineStr"/>
    </row>
    <row r="10">
      <c r="A10" s="10" t="inlineStr">
        <is>
          <t>Booked rate (conversation → call booked)</t>
        </is>
      </c>
      <c r="B10" s="24" t="n">
        <v>0.25</v>
      </c>
      <c r="C10" s="24" t="n">
        <v>0.2</v>
      </c>
      <c r="D10" s="24" t="n">
        <v>0.5</v>
      </c>
      <c r="E10" s="24" t="n">
        <v>0.25</v>
      </c>
      <c r="F10" s="10" t="inlineStr"/>
      <c r="G10" s="10" t="inlineStr">
        <is>
          <t>Planning assumptions. Email replies already saw the demo, so they book more often.</t>
        </is>
      </c>
    </row>
    <row r="11">
      <c r="A11" s="10" t="inlineStr">
        <is>
          <t>Calls booked per month</t>
        </is>
      </c>
      <c r="B11" s="23">
        <f>B9*B10</f>
        <v/>
      </c>
      <c r="C11" s="23">
        <f>C9*C10</f>
        <v/>
      </c>
      <c r="D11" s="23">
        <f>D9*D10</f>
        <v/>
      </c>
      <c r="E11" s="23">
        <f>E9*E10</f>
        <v/>
      </c>
      <c r="F11" s="23">
        <f>SUM(B11:E11)</f>
        <v/>
      </c>
      <c r="G11" s="10" t="inlineStr"/>
    </row>
    <row r="12"/>
    <row r="13">
      <c r="A13" s="5" t="inlineStr">
        <is>
          <t>From booked call to revenue</t>
        </is>
      </c>
    </row>
    <row r="14">
      <c r="A14" s="10" t="inlineStr">
        <is>
          <t>Show rate</t>
        </is>
      </c>
      <c r="B14" s="25" t="n">
        <v>0.7</v>
      </c>
      <c r="G14" s="10" t="inlineStr">
        <is>
          <t>Planning assumption (same as PIPELINE.md).</t>
        </is>
      </c>
    </row>
    <row r="15">
      <c r="A15" s="10" t="inlineStr">
        <is>
          <t>Close rate (of calls that show)</t>
        </is>
      </c>
      <c r="B15" s="25" t="n">
        <v>0.3</v>
      </c>
      <c r="G15" s="10" t="inlineStr">
        <is>
          <t>Planning assumption (same as PIPELINE.md).</t>
        </is>
      </c>
    </row>
    <row r="16">
      <c r="A16" s="10" t="inlineStr">
        <is>
          <t>Average project ($)</t>
        </is>
      </c>
      <c r="B16" s="26" t="n">
        <v>997</v>
      </c>
      <c r="G16" s="10" t="inlineStr">
        <is>
          <t>Foundation price; raise toward $1,497 as more clients take Full Presence.</t>
        </is>
      </c>
    </row>
    <row r="17">
      <c r="A17" s="10" t="inlineStr">
        <is>
          <t>Calls held per month</t>
        </is>
      </c>
      <c r="B17" s="27">
        <f>F11*B14</f>
        <v/>
      </c>
      <c r="G17" s="10" t="inlineStr"/>
    </row>
    <row r="18">
      <c r="A18" s="10" t="inlineStr">
        <is>
          <t>Closes per month</t>
        </is>
      </c>
      <c r="B18" s="27">
        <f>B17*B15</f>
        <v/>
      </c>
      <c r="G18" s="10" t="inlineStr"/>
    </row>
    <row r="19">
      <c r="A19" s="10" t="inlineStr">
        <is>
          <t>Project revenue per month ($)</t>
        </is>
      </c>
      <c r="B19" s="28">
        <f>B18*B16</f>
        <v/>
      </c>
      <c r="G19" s="10" t="inlineStr">
        <is>
          <t>One-time build fees only; Care Plan not included.</t>
        </is>
      </c>
    </row>
    <row r="20">
      <c r="A20" s="10" t="inlineStr">
        <is>
          <t>Your build capacity per month</t>
        </is>
      </c>
      <c r="B20" s="11" t="n">
        <v>6</v>
      </c>
      <c r="G20" s="10" t="inlineStr">
        <is>
          <t>From your delivery plan: about 5–6 builds a month.</t>
        </is>
      </c>
    </row>
    <row r="21">
      <c r="A21" s="10" t="inlineStr">
        <is>
          <t>Capacity check</t>
        </is>
      </c>
      <c r="B21" s="13">
        <f>IF(B18&gt;B20,"Over capacity — hire help or slow outreach","Within capacity")</f>
        <v/>
      </c>
      <c r="G21"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05"/>
  <sheetViews>
    <sheetView showGridLines="0" workbookViewId="0">
      <pane ySplit="4" topLeftCell="A5" activePane="bottomLeft" state="frozen"/>
      <selection pane="bottomLeft" activeCell="A1" sqref="A1"/>
    </sheetView>
  </sheetViews>
  <sheetFormatPr baseColWidth="8" defaultRowHeight="15"/>
  <cols>
    <col width="11" customWidth="1" min="1" max="1"/>
    <col width="16" customWidth="1" min="2" max="2"/>
    <col width="22" customWidth="1" min="3" max="3"/>
    <col width="12" customWidth="1" min="4" max="4"/>
    <col width="14" customWidth="1" min="5" max="5"/>
    <col width="11" customWidth="1" min="6" max="6"/>
    <col width="30" customWidth="1" min="7" max="7"/>
    <col width="14" customWidth="1" min="8" max="8"/>
    <col width="14" customWidth="1" min="9" max="9"/>
    <col width="11" customWidth="1" min="10" max="10"/>
    <col width="8" customWidth="1" min="11" max="11"/>
    <col width="26" customWidth="1" min="12" max="12"/>
    <col width="13" customWidth="1" min="13" max="13"/>
    <col width="24" customWidth="1" min="14" max="14"/>
    <col width="34" customWidth="1" min="15" max="15"/>
    <col width="10" customWidth="1" min="16" max="16"/>
    <col width="10" customWidth="1" min="17" max="17"/>
  </cols>
  <sheetData>
    <row r="1">
      <c r="A1" s="1" t="inlineStr">
        <is>
          <t>Lead Tracker</t>
        </is>
      </c>
    </row>
    <row r="2">
      <c r="A2" s="2" t="inlineStr">
        <is>
          <t>Every person you're talking to, one row each. Sort or filter by 'Next action date'. Red = follow-up overdue.</t>
        </is>
      </c>
    </row>
    <row r="3"/>
    <row r="4" ht="30" customHeight="1">
      <c r="A4" s="9" t="inlineStr">
        <is>
          <t>Date added</t>
        </is>
      </c>
      <c r="B4" s="9" t="inlineStr">
        <is>
          <t>Name</t>
        </is>
      </c>
      <c r="C4" s="9" t="inlineStr">
        <is>
          <t>Business</t>
        </is>
      </c>
      <c r="D4" s="9" t="inlineStr">
        <is>
          <t>Niche</t>
        </is>
      </c>
      <c r="E4" s="9" t="inlineStr">
        <is>
          <t>City, State</t>
        </is>
      </c>
      <c r="F4" s="9" t="inlineStr">
        <is>
          <t>Channel</t>
        </is>
      </c>
      <c r="G4" s="9" t="inlineStr">
        <is>
          <t>Source (link / group / post)</t>
        </is>
      </c>
      <c r="H4" s="9" t="inlineStr">
        <is>
          <t>Stage</t>
        </is>
      </c>
      <c r="I4" s="9" t="inlineStr">
        <is>
          <t>Reply type</t>
        </is>
      </c>
      <c r="J4" s="9" t="inlineStr">
        <is>
          <t>Last touch</t>
        </is>
      </c>
      <c r="K4" s="9" t="inlineStr">
        <is>
          <t>Touch #</t>
        </is>
      </c>
      <c r="L4" s="9" t="inlineStr">
        <is>
          <t>Next action</t>
        </is>
      </c>
      <c r="M4" s="9" t="inlineStr">
        <is>
          <t>Next action date</t>
        </is>
      </c>
      <c r="N4" s="9" t="inlineStr">
        <is>
          <t>Demo link</t>
        </is>
      </c>
      <c r="O4" s="9" t="inlineStr">
        <is>
          <t>Notes</t>
        </is>
      </c>
      <c r="P4" s="9" t="inlineStr">
        <is>
          <t>Days since touch</t>
        </is>
      </c>
      <c r="Q4" s="9" t="inlineStr">
        <is>
          <t>Overdue?</t>
        </is>
      </c>
    </row>
    <row r="5">
      <c r="A5" s="29" t="n">
        <v>46314</v>
      </c>
      <c r="B5" s="30" t="inlineStr">
        <is>
          <t>Maria Lopez</t>
        </is>
      </c>
      <c r="C5" s="30" t="inlineStr">
        <is>
          <t>Glow Studio Nails</t>
        </is>
      </c>
      <c r="D5" s="30" t="inlineStr">
        <is>
          <t>Beauty</t>
        </is>
      </c>
      <c r="E5" s="30" t="inlineStr">
        <is>
          <t>Tampa, FL</t>
        </is>
      </c>
      <c r="F5" s="30" t="inlineStr">
        <is>
          <t>Facebook</t>
        </is>
      </c>
      <c r="G5" s="30" t="inlineStr">
        <is>
          <t>Tampa Small Business Owners group — 'anyone know a web designer?'</t>
        </is>
      </c>
      <c r="H5" s="30" t="inlineStr">
        <is>
          <t>Demo sent</t>
        </is>
      </c>
      <c r="I5" s="30" t="inlineStr">
        <is>
          <t>Wants demo</t>
        </is>
      </c>
      <c r="J5" s="29" t="n">
        <v>46315</v>
      </c>
      <c r="K5" s="30" t="n">
        <v>2</v>
      </c>
      <c r="L5" s="30" t="inlineStr">
        <is>
          <t>Book walkthrough</t>
        </is>
      </c>
      <c r="M5" s="29" t="n">
        <v>46317</v>
      </c>
      <c r="N5" s="30" t="inlineStr">
        <is>
          <t>https://demo.example/glow-studio</t>
        </is>
      </c>
      <c r="O5" s="30" t="inlineStr">
        <is>
          <t>Wants online booking; mostly Instagram today</t>
        </is>
      </c>
      <c r="P5" s="30">
        <f>IF(J5="","",TODAY()-J5)</f>
        <v/>
      </c>
      <c r="Q5" s="30">
        <f>IF(AND(M5&lt;&gt;"",M5&lt;TODAY(),ISNA(MATCH(H5,{"Won","Lost","Do not contact"},0))),"OVERDUE","")</f>
        <v/>
      </c>
    </row>
    <row r="6">
      <c r="A6" s="31" t="n"/>
      <c r="B6" s="32" t="n"/>
      <c r="C6" s="32" t="n"/>
      <c r="D6" s="32" t="n"/>
      <c r="E6" s="32" t="n"/>
      <c r="F6" s="32" t="n"/>
      <c r="G6" s="32" t="n"/>
      <c r="H6" s="32" t="n"/>
      <c r="I6" s="32" t="n"/>
      <c r="J6" s="31" t="n"/>
      <c r="K6" s="32" t="n"/>
      <c r="L6" s="32" t="n"/>
      <c r="M6" s="31" t="n"/>
      <c r="N6" s="32" t="n"/>
      <c r="O6" s="32" t="n"/>
      <c r="P6" s="33">
        <f>IF(J6="","",TODAY()-J6)</f>
        <v/>
      </c>
      <c r="Q6" s="5">
        <f>IF(AND(M6&lt;&gt;"",M6&lt;TODAY(),ISNA(MATCH(H6,{"Won","Lost","Do not contact"},0))),"OVERDUE","")</f>
        <v/>
      </c>
    </row>
    <row r="7">
      <c r="A7" s="31" t="n"/>
      <c r="B7" s="32" t="n"/>
      <c r="C7" s="32" t="n"/>
      <c r="D7" s="32" t="n"/>
      <c r="E7" s="32" t="n"/>
      <c r="F7" s="32" t="n"/>
      <c r="G7" s="32" t="n"/>
      <c r="H7" s="32" t="n"/>
      <c r="I7" s="32" t="n"/>
      <c r="J7" s="31" t="n"/>
      <c r="K7" s="32" t="n"/>
      <c r="L7" s="32" t="n"/>
      <c r="M7" s="31" t="n"/>
      <c r="N7" s="32" t="n"/>
      <c r="O7" s="32" t="n"/>
      <c r="P7" s="33">
        <f>IF(J7="","",TODAY()-J7)</f>
        <v/>
      </c>
      <c r="Q7" s="5">
        <f>IF(AND(M7&lt;&gt;"",M7&lt;TODAY(),ISNA(MATCH(H7,{"Won","Lost","Do not contact"},0))),"OVERDUE","")</f>
        <v/>
      </c>
    </row>
    <row r="8">
      <c r="A8" s="31" t="n"/>
      <c r="B8" s="32" t="n"/>
      <c r="C8" s="32" t="n"/>
      <c r="D8" s="32" t="n"/>
      <c r="E8" s="32" t="n"/>
      <c r="F8" s="32" t="n"/>
      <c r="G8" s="32" t="n"/>
      <c r="H8" s="32" t="n"/>
      <c r="I8" s="32" t="n"/>
      <c r="J8" s="31" t="n"/>
      <c r="K8" s="32" t="n"/>
      <c r="L8" s="32" t="n"/>
      <c r="M8" s="31" t="n"/>
      <c r="N8" s="32" t="n"/>
      <c r="O8" s="32" t="n"/>
      <c r="P8" s="33">
        <f>IF(J8="","",TODAY()-J8)</f>
        <v/>
      </c>
      <c r="Q8" s="5">
        <f>IF(AND(M8&lt;&gt;"",M8&lt;TODAY(),ISNA(MATCH(H8,{"Won","Lost","Do not contact"},0))),"OVERDUE","")</f>
        <v/>
      </c>
    </row>
    <row r="9">
      <c r="A9" s="31" t="n"/>
      <c r="B9" s="32" t="n"/>
      <c r="C9" s="32" t="n"/>
      <c r="D9" s="32" t="n"/>
      <c r="E9" s="32" t="n"/>
      <c r="F9" s="32" t="n"/>
      <c r="G9" s="32" t="n"/>
      <c r="H9" s="32" t="n"/>
      <c r="I9" s="32" t="n"/>
      <c r="J9" s="31" t="n"/>
      <c r="K9" s="32" t="n"/>
      <c r="L9" s="32" t="n"/>
      <c r="M9" s="31" t="n"/>
      <c r="N9" s="32" t="n"/>
      <c r="O9" s="32" t="n"/>
      <c r="P9" s="33">
        <f>IF(J9="","",TODAY()-J9)</f>
        <v/>
      </c>
      <c r="Q9" s="5">
        <f>IF(AND(M9&lt;&gt;"",M9&lt;TODAY(),ISNA(MATCH(H9,{"Won","Lost","Do not contact"},0))),"OVERDUE","")</f>
        <v/>
      </c>
    </row>
    <row r="10">
      <c r="A10" s="31" t="n"/>
      <c r="B10" s="32" t="n"/>
      <c r="C10" s="32" t="n"/>
      <c r="D10" s="32" t="n"/>
      <c r="E10" s="32" t="n"/>
      <c r="F10" s="32" t="n"/>
      <c r="G10" s="32" t="n"/>
      <c r="H10" s="32" t="n"/>
      <c r="I10" s="32" t="n"/>
      <c r="J10" s="31" t="n"/>
      <c r="K10" s="32" t="n"/>
      <c r="L10" s="32" t="n"/>
      <c r="M10" s="31" t="n"/>
      <c r="N10" s="32" t="n"/>
      <c r="O10" s="32" t="n"/>
      <c r="P10" s="33">
        <f>IF(J10="","",TODAY()-J10)</f>
        <v/>
      </c>
      <c r="Q10" s="5">
        <f>IF(AND(M10&lt;&gt;"",M10&lt;TODAY(),ISNA(MATCH(H10,{"Won","Lost","Do not contact"},0))),"OVERDUE","")</f>
        <v/>
      </c>
    </row>
    <row r="11">
      <c r="A11" s="31" t="n"/>
      <c r="B11" s="32" t="n"/>
      <c r="C11" s="32" t="n"/>
      <c r="D11" s="32" t="n"/>
      <c r="E11" s="32" t="n"/>
      <c r="F11" s="32" t="n"/>
      <c r="G11" s="32" t="n"/>
      <c r="H11" s="32" t="n"/>
      <c r="I11" s="32" t="n"/>
      <c r="J11" s="31" t="n"/>
      <c r="K11" s="32" t="n"/>
      <c r="L11" s="32" t="n"/>
      <c r="M11" s="31" t="n"/>
      <c r="N11" s="32" t="n"/>
      <c r="O11" s="32" t="n"/>
      <c r="P11" s="33">
        <f>IF(J11="","",TODAY()-J11)</f>
        <v/>
      </c>
      <c r="Q11" s="5">
        <f>IF(AND(M11&lt;&gt;"",M11&lt;TODAY(),ISNA(MATCH(H11,{"Won","Lost","Do not contact"},0))),"OVERDUE","")</f>
        <v/>
      </c>
    </row>
    <row r="12">
      <c r="A12" s="31" t="n"/>
      <c r="B12" s="32" t="n"/>
      <c r="C12" s="32" t="n"/>
      <c r="D12" s="32" t="n"/>
      <c r="E12" s="32" t="n"/>
      <c r="F12" s="32" t="n"/>
      <c r="G12" s="32" t="n"/>
      <c r="H12" s="32" t="n"/>
      <c r="I12" s="32" t="n"/>
      <c r="J12" s="31" t="n"/>
      <c r="K12" s="32" t="n"/>
      <c r="L12" s="32" t="n"/>
      <c r="M12" s="31" t="n"/>
      <c r="N12" s="32" t="n"/>
      <c r="O12" s="32" t="n"/>
      <c r="P12" s="33">
        <f>IF(J12="","",TODAY()-J12)</f>
        <v/>
      </c>
      <c r="Q12" s="5">
        <f>IF(AND(M12&lt;&gt;"",M12&lt;TODAY(),ISNA(MATCH(H12,{"Won","Lost","Do not contact"},0))),"OVERDUE","")</f>
        <v/>
      </c>
    </row>
    <row r="13">
      <c r="A13" s="31" t="n"/>
      <c r="B13" s="32" t="n"/>
      <c r="C13" s="32" t="n"/>
      <c r="D13" s="32" t="n"/>
      <c r="E13" s="32" t="n"/>
      <c r="F13" s="32" t="n"/>
      <c r="G13" s="32" t="n"/>
      <c r="H13" s="32" t="n"/>
      <c r="I13" s="32" t="n"/>
      <c r="J13" s="31" t="n"/>
      <c r="K13" s="32" t="n"/>
      <c r="L13" s="32" t="n"/>
      <c r="M13" s="31" t="n"/>
      <c r="N13" s="32" t="n"/>
      <c r="O13" s="32" t="n"/>
      <c r="P13" s="33">
        <f>IF(J13="","",TODAY()-J13)</f>
        <v/>
      </c>
      <c r="Q13" s="5">
        <f>IF(AND(M13&lt;&gt;"",M13&lt;TODAY(),ISNA(MATCH(H13,{"Won","Lost","Do not contact"},0))),"OVERDUE","")</f>
        <v/>
      </c>
    </row>
    <row r="14">
      <c r="A14" s="31" t="n"/>
      <c r="B14" s="32" t="n"/>
      <c r="C14" s="32" t="n"/>
      <c r="D14" s="32" t="n"/>
      <c r="E14" s="32" t="n"/>
      <c r="F14" s="32" t="n"/>
      <c r="G14" s="32" t="n"/>
      <c r="H14" s="32" t="n"/>
      <c r="I14" s="32" t="n"/>
      <c r="J14" s="31" t="n"/>
      <c r="K14" s="32" t="n"/>
      <c r="L14" s="32" t="n"/>
      <c r="M14" s="31" t="n"/>
      <c r="N14" s="32" t="n"/>
      <c r="O14" s="32" t="n"/>
      <c r="P14" s="33">
        <f>IF(J14="","",TODAY()-J14)</f>
        <v/>
      </c>
      <c r="Q14" s="5">
        <f>IF(AND(M14&lt;&gt;"",M14&lt;TODAY(),ISNA(MATCH(H14,{"Won","Lost","Do not contact"},0))),"OVERDUE","")</f>
        <v/>
      </c>
    </row>
    <row r="15">
      <c r="A15" s="31" t="n"/>
      <c r="B15" s="32" t="n"/>
      <c r="C15" s="32" t="n"/>
      <c r="D15" s="32" t="n"/>
      <c r="E15" s="32" t="n"/>
      <c r="F15" s="32" t="n"/>
      <c r="G15" s="32" t="n"/>
      <c r="H15" s="32" t="n"/>
      <c r="I15" s="32" t="n"/>
      <c r="J15" s="31" t="n"/>
      <c r="K15" s="32" t="n"/>
      <c r="L15" s="32" t="n"/>
      <c r="M15" s="31" t="n"/>
      <c r="N15" s="32" t="n"/>
      <c r="O15" s="32" t="n"/>
      <c r="P15" s="33">
        <f>IF(J15="","",TODAY()-J15)</f>
        <v/>
      </c>
      <c r="Q15" s="5">
        <f>IF(AND(M15&lt;&gt;"",M15&lt;TODAY(),ISNA(MATCH(H15,{"Won","Lost","Do not contact"},0))),"OVERDUE","")</f>
        <v/>
      </c>
    </row>
    <row r="16">
      <c r="A16" s="31" t="n"/>
      <c r="B16" s="32" t="n"/>
      <c r="C16" s="32" t="n"/>
      <c r="D16" s="32" t="n"/>
      <c r="E16" s="32" t="n"/>
      <c r="F16" s="32" t="n"/>
      <c r="G16" s="32" t="n"/>
      <c r="H16" s="32" t="n"/>
      <c r="I16" s="32" t="n"/>
      <c r="J16" s="31" t="n"/>
      <c r="K16" s="32" t="n"/>
      <c r="L16" s="32" t="n"/>
      <c r="M16" s="31" t="n"/>
      <c r="N16" s="32" t="n"/>
      <c r="O16" s="32" t="n"/>
      <c r="P16" s="33">
        <f>IF(J16="","",TODAY()-J16)</f>
        <v/>
      </c>
      <c r="Q16" s="5">
        <f>IF(AND(M16&lt;&gt;"",M16&lt;TODAY(),ISNA(MATCH(H16,{"Won","Lost","Do not contact"},0))),"OVERDUE","")</f>
        <v/>
      </c>
    </row>
    <row r="17">
      <c r="A17" s="31" t="n"/>
      <c r="B17" s="32" t="n"/>
      <c r="C17" s="32" t="n"/>
      <c r="D17" s="32" t="n"/>
      <c r="E17" s="32" t="n"/>
      <c r="F17" s="32" t="n"/>
      <c r="G17" s="32" t="n"/>
      <c r="H17" s="32" t="n"/>
      <c r="I17" s="32" t="n"/>
      <c r="J17" s="31" t="n"/>
      <c r="K17" s="32" t="n"/>
      <c r="L17" s="32" t="n"/>
      <c r="M17" s="31" t="n"/>
      <c r="N17" s="32" t="n"/>
      <c r="O17" s="32" t="n"/>
      <c r="P17" s="33">
        <f>IF(J17="","",TODAY()-J17)</f>
        <v/>
      </c>
      <c r="Q17" s="5">
        <f>IF(AND(M17&lt;&gt;"",M17&lt;TODAY(),ISNA(MATCH(H17,{"Won","Lost","Do not contact"},0))),"OVERDUE","")</f>
        <v/>
      </c>
    </row>
    <row r="18">
      <c r="A18" s="31" t="n"/>
      <c r="B18" s="32" t="n"/>
      <c r="C18" s="32" t="n"/>
      <c r="D18" s="32" t="n"/>
      <c r="E18" s="32" t="n"/>
      <c r="F18" s="32" t="n"/>
      <c r="G18" s="32" t="n"/>
      <c r="H18" s="32" t="n"/>
      <c r="I18" s="32" t="n"/>
      <c r="J18" s="31" t="n"/>
      <c r="K18" s="32" t="n"/>
      <c r="L18" s="32" t="n"/>
      <c r="M18" s="31" t="n"/>
      <c r="N18" s="32" t="n"/>
      <c r="O18" s="32" t="n"/>
      <c r="P18" s="33">
        <f>IF(J18="","",TODAY()-J18)</f>
        <v/>
      </c>
      <c r="Q18" s="5">
        <f>IF(AND(M18&lt;&gt;"",M18&lt;TODAY(),ISNA(MATCH(H18,{"Won","Lost","Do not contact"},0))),"OVERDUE","")</f>
        <v/>
      </c>
    </row>
    <row r="19">
      <c r="A19" s="31" t="n"/>
      <c r="B19" s="32" t="n"/>
      <c r="C19" s="32" t="n"/>
      <c r="D19" s="32" t="n"/>
      <c r="E19" s="32" t="n"/>
      <c r="F19" s="32" t="n"/>
      <c r="G19" s="32" t="n"/>
      <c r="H19" s="32" t="n"/>
      <c r="I19" s="32" t="n"/>
      <c r="J19" s="31" t="n"/>
      <c r="K19" s="32" t="n"/>
      <c r="L19" s="32" t="n"/>
      <c r="M19" s="31" t="n"/>
      <c r="N19" s="32" t="n"/>
      <c r="O19" s="32" t="n"/>
      <c r="P19" s="33">
        <f>IF(J19="","",TODAY()-J19)</f>
        <v/>
      </c>
      <c r="Q19" s="5">
        <f>IF(AND(M19&lt;&gt;"",M19&lt;TODAY(),ISNA(MATCH(H19,{"Won","Lost","Do not contact"},0))),"OVERDUE","")</f>
        <v/>
      </c>
    </row>
    <row r="20">
      <c r="A20" s="31" t="n"/>
      <c r="B20" s="32" t="n"/>
      <c r="C20" s="32" t="n"/>
      <c r="D20" s="32" t="n"/>
      <c r="E20" s="32" t="n"/>
      <c r="F20" s="32" t="n"/>
      <c r="G20" s="32" t="n"/>
      <c r="H20" s="32" t="n"/>
      <c r="I20" s="32" t="n"/>
      <c r="J20" s="31" t="n"/>
      <c r="K20" s="32" t="n"/>
      <c r="L20" s="32" t="n"/>
      <c r="M20" s="31" t="n"/>
      <c r="N20" s="32" t="n"/>
      <c r="O20" s="32" t="n"/>
      <c r="P20" s="33">
        <f>IF(J20="","",TODAY()-J20)</f>
        <v/>
      </c>
      <c r="Q20" s="5">
        <f>IF(AND(M20&lt;&gt;"",M20&lt;TODAY(),ISNA(MATCH(H20,{"Won","Lost","Do not contact"},0))),"OVERDUE","")</f>
        <v/>
      </c>
    </row>
    <row r="21">
      <c r="A21" s="31" t="n"/>
      <c r="B21" s="32" t="n"/>
      <c r="C21" s="32" t="n"/>
      <c r="D21" s="32" t="n"/>
      <c r="E21" s="32" t="n"/>
      <c r="F21" s="32" t="n"/>
      <c r="G21" s="32" t="n"/>
      <c r="H21" s="32" t="n"/>
      <c r="I21" s="32" t="n"/>
      <c r="J21" s="31" t="n"/>
      <c r="K21" s="32" t="n"/>
      <c r="L21" s="32" t="n"/>
      <c r="M21" s="31" t="n"/>
      <c r="N21" s="32" t="n"/>
      <c r="O21" s="32" t="n"/>
      <c r="P21" s="33">
        <f>IF(J21="","",TODAY()-J21)</f>
        <v/>
      </c>
      <c r="Q21" s="5">
        <f>IF(AND(M21&lt;&gt;"",M21&lt;TODAY(),ISNA(MATCH(H21,{"Won","Lost","Do not contact"},0))),"OVERDUE","")</f>
        <v/>
      </c>
    </row>
    <row r="22">
      <c r="A22" s="31" t="n"/>
      <c r="B22" s="32" t="n"/>
      <c r="C22" s="32" t="n"/>
      <c r="D22" s="32" t="n"/>
      <c r="E22" s="32" t="n"/>
      <c r="F22" s="32" t="n"/>
      <c r="G22" s="32" t="n"/>
      <c r="H22" s="32" t="n"/>
      <c r="I22" s="32" t="n"/>
      <c r="J22" s="31" t="n"/>
      <c r="K22" s="32" t="n"/>
      <c r="L22" s="32" t="n"/>
      <c r="M22" s="31" t="n"/>
      <c r="N22" s="32" t="n"/>
      <c r="O22" s="32" t="n"/>
      <c r="P22" s="33">
        <f>IF(J22="","",TODAY()-J22)</f>
        <v/>
      </c>
      <c r="Q22" s="5">
        <f>IF(AND(M22&lt;&gt;"",M22&lt;TODAY(),ISNA(MATCH(H22,{"Won","Lost","Do not contact"},0))),"OVERDUE","")</f>
        <v/>
      </c>
    </row>
    <row r="23">
      <c r="A23" s="31" t="n"/>
      <c r="B23" s="32" t="n"/>
      <c r="C23" s="32" t="n"/>
      <c r="D23" s="32" t="n"/>
      <c r="E23" s="32" t="n"/>
      <c r="F23" s="32" t="n"/>
      <c r="G23" s="32" t="n"/>
      <c r="H23" s="32" t="n"/>
      <c r="I23" s="32" t="n"/>
      <c r="J23" s="31" t="n"/>
      <c r="K23" s="32" t="n"/>
      <c r="L23" s="32" t="n"/>
      <c r="M23" s="31" t="n"/>
      <c r="N23" s="32" t="n"/>
      <c r="O23" s="32" t="n"/>
      <c r="P23" s="33">
        <f>IF(J23="","",TODAY()-J23)</f>
        <v/>
      </c>
      <c r="Q23" s="5">
        <f>IF(AND(M23&lt;&gt;"",M23&lt;TODAY(),ISNA(MATCH(H23,{"Won","Lost","Do not contact"},0))),"OVERDUE","")</f>
        <v/>
      </c>
    </row>
    <row r="24">
      <c r="A24" s="31" t="n"/>
      <c r="B24" s="32" t="n"/>
      <c r="C24" s="32" t="n"/>
      <c r="D24" s="32" t="n"/>
      <c r="E24" s="32" t="n"/>
      <c r="F24" s="32" t="n"/>
      <c r="G24" s="32" t="n"/>
      <c r="H24" s="32" t="n"/>
      <c r="I24" s="32" t="n"/>
      <c r="J24" s="31" t="n"/>
      <c r="K24" s="32" t="n"/>
      <c r="L24" s="32" t="n"/>
      <c r="M24" s="31" t="n"/>
      <c r="N24" s="32" t="n"/>
      <c r="O24" s="32" t="n"/>
      <c r="P24" s="33">
        <f>IF(J24="","",TODAY()-J24)</f>
        <v/>
      </c>
      <c r="Q24" s="5">
        <f>IF(AND(M24&lt;&gt;"",M24&lt;TODAY(),ISNA(MATCH(H24,{"Won","Lost","Do not contact"},0))),"OVERDUE","")</f>
        <v/>
      </c>
    </row>
    <row r="25">
      <c r="A25" s="31" t="n"/>
      <c r="B25" s="32" t="n"/>
      <c r="C25" s="32" t="n"/>
      <c r="D25" s="32" t="n"/>
      <c r="E25" s="32" t="n"/>
      <c r="F25" s="32" t="n"/>
      <c r="G25" s="32" t="n"/>
      <c r="H25" s="32" t="n"/>
      <c r="I25" s="32" t="n"/>
      <c r="J25" s="31" t="n"/>
      <c r="K25" s="32" t="n"/>
      <c r="L25" s="32" t="n"/>
      <c r="M25" s="31" t="n"/>
      <c r="N25" s="32" t="n"/>
      <c r="O25" s="32" t="n"/>
      <c r="P25" s="33">
        <f>IF(J25="","",TODAY()-J25)</f>
        <v/>
      </c>
      <c r="Q25" s="5">
        <f>IF(AND(M25&lt;&gt;"",M25&lt;TODAY(),ISNA(MATCH(H25,{"Won","Lost","Do not contact"},0))),"OVERDUE","")</f>
        <v/>
      </c>
    </row>
    <row r="26">
      <c r="A26" s="31" t="n"/>
      <c r="B26" s="32" t="n"/>
      <c r="C26" s="32" t="n"/>
      <c r="D26" s="32" t="n"/>
      <c r="E26" s="32" t="n"/>
      <c r="F26" s="32" t="n"/>
      <c r="G26" s="32" t="n"/>
      <c r="H26" s="32" t="n"/>
      <c r="I26" s="32" t="n"/>
      <c r="J26" s="31" t="n"/>
      <c r="K26" s="32" t="n"/>
      <c r="L26" s="32" t="n"/>
      <c r="M26" s="31" t="n"/>
      <c r="N26" s="32" t="n"/>
      <c r="O26" s="32" t="n"/>
      <c r="P26" s="33">
        <f>IF(J26="","",TODAY()-J26)</f>
        <v/>
      </c>
      <c r="Q26" s="5">
        <f>IF(AND(M26&lt;&gt;"",M26&lt;TODAY(),ISNA(MATCH(H26,{"Won","Lost","Do not contact"},0))),"OVERDUE","")</f>
        <v/>
      </c>
    </row>
    <row r="27">
      <c r="A27" s="31" t="n"/>
      <c r="B27" s="32" t="n"/>
      <c r="C27" s="32" t="n"/>
      <c r="D27" s="32" t="n"/>
      <c r="E27" s="32" t="n"/>
      <c r="F27" s="32" t="n"/>
      <c r="G27" s="32" t="n"/>
      <c r="H27" s="32" t="n"/>
      <c r="I27" s="32" t="n"/>
      <c r="J27" s="31" t="n"/>
      <c r="K27" s="32" t="n"/>
      <c r="L27" s="32" t="n"/>
      <c r="M27" s="31" t="n"/>
      <c r="N27" s="32" t="n"/>
      <c r="O27" s="32" t="n"/>
      <c r="P27" s="33">
        <f>IF(J27="","",TODAY()-J27)</f>
        <v/>
      </c>
      <c r="Q27" s="5">
        <f>IF(AND(M27&lt;&gt;"",M27&lt;TODAY(),ISNA(MATCH(H27,{"Won","Lost","Do not contact"},0))),"OVERDUE","")</f>
        <v/>
      </c>
    </row>
    <row r="28">
      <c r="A28" s="31" t="n"/>
      <c r="B28" s="32" t="n"/>
      <c r="C28" s="32" t="n"/>
      <c r="D28" s="32" t="n"/>
      <c r="E28" s="32" t="n"/>
      <c r="F28" s="32" t="n"/>
      <c r="G28" s="32" t="n"/>
      <c r="H28" s="32" t="n"/>
      <c r="I28" s="32" t="n"/>
      <c r="J28" s="31" t="n"/>
      <c r="K28" s="32" t="n"/>
      <c r="L28" s="32" t="n"/>
      <c r="M28" s="31" t="n"/>
      <c r="N28" s="32" t="n"/>
      <c r="O28" s="32" t="n"/>
      <c r="P28" s="33">
        <f>IF(J28="","",TODAY()-J28)</f>
        <v/>
      </c>
      <c r="Q28" s="5">
        <f>IF(AND(M28&lt;&gt;"",M28&lt;TODAY(),ISNA(MATCH(H28,{"Won","Lost","Do not contact"},0))),"OVERDUE","")</f>
        <v/>
      </c>
    </row>
    <row r="29">
      <c r="A29" s="31" t="n"/>
      <c r="B29" s="32" t="n"/>
      <c r="C29" s="32" t="n"/>
      <c r="D29" s="32" t="n"/>
      <c r="E29" s="32" t="n"/>
      <c r="F29" s="32" t="n"/>
      <c r="G29" s="32" t="n"/>
      <c r="H29" s="32" t="n"/>
      <c r="I29" s="32" t="n"/>
      <c r="J29" s="31" t="n"/>
      <c r="K29" s="32" t="n"/>
      <c r="L29" s="32" t="n"/>
      <c r="M29" s="31" t="n"/>
      <c r="N29" s="32" t="n"/>
      <c r="O29" s="32" t="n"/>
      <c r="P29" s="33">
        <f>IF(J29="","",TODAY()-J29)</f>
        <v/>
      </c>
      <c r="Q29" s="5">
        <f>IF(AND(M29&lt;&gt;"",M29&lt;TODAY(),ISNA(MATCH(H29,{"Won","Lost","Do not contact"},0))),"OVERDUE","")</f>
        <v/>
      </c>
    </row>
    <row r="30">
      <c r="A30" s="31" t="n"/>
      <c r="B30" s="32" t="n"/>
      <c r="C30" s="32" t="n"/>
      <c r="D30" s="32" t="n"/>
      <c r="E30" s="32" t="n"/>
      <c r="F30" s="32" t="n"/>
      <c r="G30" s="32" t="n"/>
      <c r="H30" s="32" t="n"/>
      <c r="I30" s="32" t="n"/>
      <c r="J30" s="31" t="n"/>
      <c r="K30" s="32" t="n"/>
      <c r="L30" s="32" t="n"/>
      <c r="M30" s="31" t="n"/>
      <c r="N30" s="32" t="n"/>
      <c r="O30" s="32" t="n"/>
      <c r="P30" s="33">
        <f>IF(J30="","",TODAY()-J30)</f>
        <v/>
      </c>
      <c r="Q30" s="5">
        <f>IF(AND(M30&lt;&gt;"",M30&lt;TODAY(),ISNA(MATCH(H30,{"Won","Lost","Do not contact"},0))),"OVERDUE","")</f>
        <v/>
      </c>
    </row>
    <row r="31">
      <c r="A31" s="31" t="n"/>
      <c r="B31" s="32" t="n"/>
      <c r="C31" s="32" t="n"/>
      <c r="D31" s="32" t="n"/>
      <c r="E31" s="32" t="n"/>
      <c r="F31" s="32" t="n"/>
      <c r="G31" s="32" t="n"/>
      <c r="H31" s="32" t="n"/>
      <c r="I31" s="32" t="n"/>
      <c r="J31" s="31" t="n"/>
      <c r="K31" s="32" t="n"/>
      <c r="L31" s="32" t="n"/>
      <c r="M31" s="31" t="n"/>
      <c r="N31" s="32" t="n"/>
      <c r="O31" s="32" t="n"/>
      <c r="P31" s="33">
        <f>IF(J31="","",TODAY()-J31)</f>
        <v/>
      </c>
      <c r="Q31" s="5">
        <f>IF(AND(M31&lt;&gt;"",M31&lt;TODAY(),ISNA(MATCH(H31,{"Won","Lost","Do not contact"},0))),"OVERDUE","")</f>
        <v/>
      </c>
    </row>
    <row r="32">
      <c r="A32" s="31" t="n"/>
      <c r="B32" s="32" t="n"/>
      <c r="C32" s="32" t="n"/>
      <c r="D32" s="32" t="n"/>
      <c r="E32" s="32" t="n"/>
      <c r="F32" s="32" t="n"/>
      <c r="G32" s="32" t="n"/>
      <c r="H32" s="32" t="n"/>
      <c r="I32" s="32" t="n"/>
      <c r="J32" s="31" t="n"/>
      <c r="K32" s="32" t="n"/>
      <c r="L32" s="32" t="n"/>
      <c r="M32" s="31" t="n"/>
      <c r="N32" s="32" t="n"/>
      <c r="O32" s="32" t="n"/>
      <c r="P32" s="33">
        <f>IF(J32="","",TODAY()-J32)</f>
        <v/>
      </c>
      <c r="Q32" s="5">
        <f>IF(AND(M32&lt;&gt;"",M32&lt;TODAY(),ISNA(MATCH(H32,{"Won","Lost","Do not contact"},0))),"OVERDUE","")</f>
        <v/>
      </c>
    </row>
    <row r="33">
      <c r="A33" s="31" t="n"/>
      <c r="B33" s="32" t="n"/>
      <c r="C33" s="32" t="n"/>
      <c r="D33" s="32" t="n"/>
      <c r="E33" s="32" t="n"/>
      <c r="F33" s="32" t="n"/>
      <c r="G33" s="32" t="n"/>
      <c r="H33" s="32" t="n"/>
      <c r="I33" s="32" t="n"/>
      <c r="J33" s="31" t="n"/>
      <c r="K33" s="32" t="n"/>
      <c r="L33" s="32" t="n"/>
      <c r="M33" s="31" t="n"/>
      <c r="N33" s="32" t="n"/>
      <c r="O33" s="32" t="n"/>
      <c r="P33" s="33">
        <f>IF(J33="","",TODAY()-J33)</f>
        <v/>
      </c>
      <c r="Q33" s="5">
        <f>IF(AND(M33&lt;&gt;"",M33&lt;TODAY(),ISNA(MATCH(H33,{"Won","Lost","Do not contact"},0))),"OVERDUE","")</f>
        <v/>
      </c>
    </row>
    <row r="34">
      <c r="A34" s="31" t="n"/>
      <c r="B34" s="32" t="n"/>
      <c r="C34" s="32" t="n"/>
      <c r="D34" s="32" t="n"/>
      <c r="E34" s="32" t="n"/>
      <c r="F34" s="32" t="n"/>
      <c r="G34" s="32" t="n"/>
      <c r="H34" s="32" t="n"/>
      <c r="I34" s="32" t="n"/>
      <c r="J34" s="31" t="n"/>
      <c r="K34" s="32" t="n"/>
      <c r="L34" s="32" t="n"/>
      <c r="M34" s="31" t="n"/>
      <c r="N34" s="32" t="n"/>
      <c r="O34" s="32" t="n"/>
      <c r="P34" s="33">
        <f>IF(J34="","",TODAY()-J34)</f>
        <v/>
      </c>
      <c r="Q34" s="5">
        <f>IF(AND(M34&lt;&gt;"",M34&lt;TODAY(),ISNA(MATCH(H34,{"Won","Lost","Do not contact"},0))),"OVERDUE","")</f>
        <v/>
      </c>
    </row>
    <row r="35">
      <c r="A35" s="31" t="n"/>
      <c r="B35" s="32" t="n"/>
      <c r="C35" s="32" t="n"/>
      <c r="D35" s="32" t="n"/>
      <c r="E35" s="32" t="n"/>
      <c r="F35" s="32" t="n"/>
      <c r="G35" s="32" t="n"/>
      <c r="H35" s="32" t="n"/>
      <c r="I35" s="32" t="n"/>
      <c r="J35" s="31" t="n"/>
      <c r="K35" s="32" t="n"/>
      <c r="L35" s="32" t="n"/>
      <c r="M35" s="31" t="n"/>
      <c r="N35" s="32" t="n"/>
      <c r="O35" s="32" t="n"/>
      <c r="P35" s="33">
        <f>IF(J35="","",TODAY()-J35)</f>
        <v/>
      </c>
      <c r="Q35" s="5">
        <f>IF(AND(M35&lt;&gt;"",M35&lt;TODAY(),ISNA(MATCH(H35,{"Won","Lost","Do not contact"},0))),"OVERDUE","")</f>
        <v/>
      </c>
    </row>
    <row r="36">
      <c r="A36" s="31" t="n"/>
      <c r="B36" s="32" t="n"/>
      <c r="C36" s="32" t="n"/>
      <c r="D36" s="32" t="n"/>
      <c r="E36" s="32" t="n"/>
      <c r="F36" s="32" t="n"/>
      <c r="G36" s="32" t="n"/>
      <c r="H36" s="32" t="n"/>
      <c r="I36" s="32" t="n"/>
      <c r="J36" s="31" t="n"/>
      <c r="K36" s="32" t="n"/>
      <c r="L36" s="32" t="n"/>
      <c r="M36" s="31" t="n"/>
      <c r="N36" s="32" t="n"/>
      <c r="O36" s="32" t="n"/>
      <c r="P36" s="33">
        <f>IF(J36="","",TODAY()-J36)</f>
        <v/>
      </c>
      <c r="Q36" s="5">
        <f>IF(AND(M36&lt;&gt;"",M36&lt;TODAY(),ISNA(MATCH(H36,{"Won","Lost","Do not contact"},0))),"OVERDUE","")</f>
        <v/>
      </c>
    </row>
    <row r="37">
      <c r="A37" s="31" t="n"/>
      <c r="B37" s="32" t="n"/>
      <c r="C37" s="32" t="n"/>
      <c r="D37" s="32" t="n"/>
      <c r="E37" s="32" t="n"/>
      <c r="F37" s="32" t="n"/>
      <c r="G37" s="32" t="n"/>
      <c r="H37" s="32" t="n"/>
      <c r="I37" s="32" t="n"/>
      <c r="J37" s="31" t="n"/>
      <c r="K37" s="32" t="n"/>
      <c r="L37" s="32" t="n"/>
      <c r="M37" s="31" t="n"/>
      <c r="N37" s="32" t="n"/>
      <c r="O37" s="32" t="n"/>
      <c r="P37" s="33">
        <f>IF(J37="","",TODAY()-J37)</f>
        <v/>
      </c>
      <c r="Q37" s="5">
        <f>IF(AND(M37&lt;&gt;"",M37&lt;TODAY(),ISNA(MATCH(H37,{"Won","Lost","Do not contact"},0))),"OVERDUE","")</f>
        <v/>
      </c>
    </row>
    <row r="38">
      <c r="A38" s="31" t="n"/>
      <c r="B38" s="32" t="n"/>
      <c r="C38" s="32" t="n"/>
      <c r="D38" s="32" t="n"/>
      <c r="E38" s="32" t="n"/>
      <c r="F38" s="32" t="n"/>
      <c r="G38" s="32" t="n"/>
      <c r="H38" s="32" t="n"/>
      <c r="I38" s="32" t="n"/>
      <c r="J38" s="31" t="n"/>
      <c r="K38" s="32" t="n"/>
      <c r="L38" s="32" t="n"/>
      <c r="M38" s="31" t="n"/>
      <c r="N38" s="32" t="n"/>
      <c r="O38" s="32" t="n"/>
      <c r="P38" s="33">
        <f>IF(J38="","",TODAY()-J38)</f>
        <v/>
      </c>
      <c r="Q38" s="5">
        <f>IF(AND(M38&lt;&gt;"",M38&lt;TODAY(),ISNA(MATCH(H38,{"Won","Lost","Do not contact"},0))),"OVERDUE","")</f>
        <v/>
      </c>
    </row>
    <row r="39">
      <c r="A39" s="31" t="n"/>
      <c r="B39" s="32" t="n"/>
      <c r="C39" s="32" t="n"/>
      <c r="D39" s="32" t="n"/>
      <c r="E39" s="32" t="n"/>
      <c r="F39" s="32" t="n"/>
      <c r="G39" s="32" t="n"/>
      <c r="H39" s="32" t="n"/>
      <c r="I39" s="32" t="n"/>
      <c r="J39" s="31" t="n"/>
      <c r="K39" s="32" t="n"/>
      <c r="L39" s="32" t="n"/>
      <c r="M39" s="31" t="n"/>
      <c r="N39" s="32" t="n"/>
      <c r="O39" s="32" t="n"/>
      <c r="P39" s="33">
        <f>IF(J39="","",TODAY()-J39)</f>
        <v/>
      </c>
      <c r="Q39" s="5">
        <f>IF(AND(M39&lt;&gt;"",M39&lt;TODAY(),ISNA(MATCH(H39,{"Won","Lost","Do not contact"},0))),"OVERDUE","")</f>
        <v/>
      </c>
    </row>
    <row r="40">
      <c r="A40" s="31" t="n"/>
      <c r="B40" s="32" t="n"/>
      <c r="C40" s="32" t="n"/>
      <c r="D40" s="32" t="n"/>
      <c r="E40" s="32" t="n"/>
      <c r="F40" s="32" t="n"/>
      <c r="G40" s="32" t="n"/>
      <c r="H40" s="32" t="n"/>
      <c r="I40" s="32" t="n"/>
      <c r="J40" s="31" t="n"/>
      <c r="K40" s="32" t="n"/>
      <c r="L40" s="32" t="n"/>
      <c r="M40" s="31" t="n"/>
      <c r="N40" s="32" t="n"/>
      <c r="O40" s="32" t="n"/>
      <c r="P40" s="33">
        <f>IF(J40="","",TODAY()-J40)</f>
        <v/>
      </c>
      <c r="Q40" s="5">
        <f>IF(AND(M40&lt;&gt;"",M40&lt;TODAY(),ISNA(MATCH(H40,{"Won","Lost","Do not contact"},0))),"OVERDUE","")</f>
        <v/>
      </c>
    </row>
    <row r="41">
      <c r="A41" s="31" t="n"/>
      <c r="B41" s="32" t="n"/>
      <c r="C41" s="32" t="n"/>
      <c r="D41" s="32" t="n"/>
      <c r="E41" s="32" t="n"/>
      <c r="F41" s="32" t="n"/>
      <c r="G41" s="32" t="n"/>
      <c r="H41" s="32" t="n"/>
      <c r="I41" s="32" t="n"/>
      <c r="J41" s="31" t="n"/>
      <c r="K41" s="32" t="n"/>
      <c r="L41" s="32" t="n"/>
      <c r="M41" s="31" t="n"/>
      <c r="N41" s="32" t="n"/>
      <c r="O41" s="32" t="n"/>
      <c r="P41" s="33">
        <f>IF(J41="","",TODAY()-J41)</f>
        <v/>
      </c>
      <c r="Q41" s="5">
        <f>IF(AND(M41&lt;&gt;"",M41&lt;TODAY(),ISNA(MATCH(H41,{"Won","Lost","Do not contact"},0))),"OVERDUE","")</f>
        <v/>
      </c>
    </row>
    <row r="42">
      <c r="A42" s="31" t="n"/>
      <c r="B42" s="32" t="n"/>
      <c r="C42" s="32" t="n"/>
      <c r="D42" s="32" t="n"/>
      <c r="E42" s="32" t="n"/>
      <c r="F42" s="32" t="n"/>
      <c r="G42" s="32" t="n"/>
      <c r="H42" s="32" t="n"/>
      <c r="I42" s="32" t="n"/>
      <c r="J42" s="31" t="n"/>
      <c r="K42" s="32" t="n"/>
      <c r="L42" s="32" t="n"/>
      <c r="M42" s="31" t="n"/>
      <c r="N42" s="32" t="n"/>
      <c r="O42" s="32" t="n"/>
      <c r="P42" s="33">
        <f>IF(J42="","",TODAY()-J42)</f>
        <v/>
      </c>
      <c r="Q42" s="5">
        <f>IF(AND(M42&lt;&gt;"",M42&lt;TODAY(),ISNA(MATCH(H42,{"Won","Lost","Do not contact"},0))),"OVERDUE","")</f>
        <v/>
      </c>
    </row>
    <row r="43">
      <c r="A43" s="31" t="n"/>
      <c r="B43" s="32" t="n"/>
      <c r="C43" s="32" t="n"/>
      <c r="D43" s="32" t="n"/>
      <c r="E43" s="32" t="n"/>
      <c r="F43" s="32" t="n"/>
      <c r="G43" s="32" t="n"/>
      <c r="H43" s="32" t="n"/>
      <c r="I43" s="32" t="n"/>
      <c r="J43" s="31" t="n"/>
      <c r="K43" s="32" t="n"/>
      <c r="L43" s="32" t="n"/>
      <c r="M43" s="31" t="n"/>
      <c r="N43" s="32" t="n"/>
      <c r="O43" s="32" t="n"/>
      <c r="P43" s="33">
        <f>IF(J43="","",TODAY()-J43)</f>
        <v/>
      </c>
      <c r="Q43" s="5">
        <f>IF(AND(M43&lt;&gt;"",M43&lt;TODAY(),ISNA(MATCH(H43,{"Won","Lost","Do not contact"},0))),"OVERDUE","")</f>
        <v/>
      </c>
    </row>
    <row r="44">
      <c r="A44" s="31" t="n"/>
      <c r="B44" s="32" t="n"/>
      <c r="C44" s="32" t="n"/>
      <c r="D44" s="32" t="n"/>
      <c r="E44" s="32" t="n"/>
      <c r="F44" s="32" t="n"/>
      <c r="G44" s="32" t="n"/>
      <c r="H44" s="32" t="n"/>
      <c r="I44" s="32" t="n"/>
      <c r="J44" s="31" t="n"/>
      <c r="K44" s="32" t="n"/>
      <c r="L44" s="32" t="n"/>
      <c r="M44" s="31" t="n"/>
      <c r="N44" s="32" t="n"/>
      <c r="O44" s="32" t="n"/>
      <c r="P44" s="33">
        <f>IF(J44="","",TODAY()-J44)</f>
        <v/>
      </c>
      <c r="Q44" s="5">
        <f>IF(AND(M44&lt;&gt;"",M44&lt;TODAY(),ISNA(MATCH(H44,{"Won","Lost","Do not contact"},0))),"OVERDUE","")</f>
        <v/>
      </c>
    </row>
    <row r="45">
      <c r="A45" s="31" t="n"/>
      <c r="B45" s="32" t="n"/>
      <c r="C45" s="32" t="n"/>
      <c r="D45" s="32" t="n"/>
      <c r="E45" s="32" t="n"/>
      <c r="F45" s="32" t="n"/>
      <c r="G45" s="32" t="n"/>
      <c r="H45" s="32" t="n"/>
      <c r="I45" s="32" t="n"/>
      <c r="J45" s="31" t="n"/>
      <c r="K45" s="32" t="n"/>
      <c r="L45" s="32" t="n"/>
      <c r="M45" s="31" t="n"/>
      <c r="N45" s="32" t="n"/>
      <c r="O45" s="32" t="n"/>
      <c r="P45" s="33">
        <f>IF(J45="","",TODAY()-J45)</f>
        <v/>
      </c>
      <c r="Q45" s="5">
        <f>IF(AND(M45&lt;&gt;"",M45&lt;TODAY(),ISNA(MATCH(H45,{"Won","Lost","Do not contact"},0))),"OVERDUE","")</f>
        <v/>
      </c>
    </row>
    <row r="46">
      <c r="A46" s="31" t="n"/>
      <c r="B46" s="32" t="n"/>
      <c r="C46" s="32" t="n"/>
      <c r="D46" s="32" t="n"/>
      <c r="E46" s="32" t="n"/>
      <c r="F46" s="32" t="n"/>
      <c r="G46" s="32" t="n"/>
      <c r="H46" s="32" t="n"/>
      <c r="I46" s="32" t="n"/>
      <c r="J46" s="31" t="n"/>
      <c r="K46" s="32" t="n"/>
      <c r="L46" s="32" t="n"/>
      <c r="M46" s="31" t="n"/>
      <c r="N46" s="32" t="n"/>
      <c r="O46" s="32" t="n"/>
      <c r="P46" s="33">
        <f>IF(J46="","",TODAY()-J46)</f>
        <v/>
      </c>
      <c r="Q46" s="5">
        <f>IF(AND(M46&lt;&gt;"",M46&lt;TODAY(),ISNA(MATCH(H46,{"Won","Lost","Do not contact"},0))),"OVERDUE","")</f>
        <v/>
      </c>
    </row>
    <row r="47">
      <c r="A47" s="31" t="n"/>
      <c r="B47" s="32" t="n"/>
      <c r="C47" s="32" t="n"/>
      <c r="D47" s="32" t="n"/>
      <c r="E47" s="32" t="n"/>
      <c r="F47" s="32" t="n"/>
      <c r="G47" s="32" t="n"/>
      <c r="H47" s="32" t="n"/>
      <c r="I47" s="32" t="n"/>
      <c r="J47" s="31" t="n"/>
      <c r="K47" s="32" t="n"/>
      <c r="L47" s="32" t="n"/>
      <c r="M47" s="31" t="n"/>
      <c r="N47" s="32" t="n"/>
      <c r="O47" s="32" t="n"/>
      <c r="P47" s="33">
        <f>IF(J47="","",TODAY()-J47)</f>
        <v/>
      </c>
      <c r="Q47" s="5">
        <f>IF(AND(M47&lt;&gt;"",M47&lt;TODAY(),ISNA(MATCH(H47,{"Won","Lost","Do not contact"},0))),"OVERDUE","")</f>
        <v/>
      </c>
    </row>
    <row r="48">
      <c r="A48" s="31" t="n"/>
      <c r="B48" s="32" t="n"/>
      <c r="C48" s="32" t="n"/>
      <c r="D48" s="32" t="n"/>
      <c r="E48" s="32" t="n"/>
      <c r="F48" s="32" t="n"/>
      <c r="G48" s="32" t="n"/>
      <c r="H48" s="32" t="n"/>
      <c r="I48" s="32" t="n"/>
      <c r="J48" s="31" t="n"/>
      <c r="K48" s="32" t="n"/>
      <c r="L48" s="32" t="n"/>
      <c r="M48" s="31" t="n"/>
      <c r="N48" s="32" t="n"/>
      <c r="O48" s="32" t="n"/>
      <c r="P48" s="33">
        <f>IF(J48="","",TODAY()-J48)</f>
        <v/>
      </c>
      <c r="Q48" s="5">
        <f>IF(AND(M48&lt;&gt;"",M48&lt;TODAY(),ISNA(MATCH(H48,{"Won","Lost","Do not contact"},0))),"OVERDUE","")</f>
        <v/>
      </c>
    </row>
    <row r="49">
      <c r="A49" s="31" t="n"/>
      <c r="B49" s="32" t="n"/>
      <c r="C49" s="32" t="n"/>
      <c r="D49" s="32" t="n"/>
      <c r="E49" s="32" t="n"/>
      <c r="F49" s="32" t="n"/>
      <c r="G49" s="32" t="n"/>
      <c r="H49" s="32" t="n"/>
      <c r="I49" s="32" t="n"/>
      <c r="J49" s="31" t="n"/>
      <c r="K49" s="32" t="n"/>
      <c r="L49" s="32" t="n"/>
      <c r="M49" s="31" t="n"/>
      <c r="N49" s="32" t="n"/>
      <c r="O49" s="32" t="n"/>
      <c r="P49" s="33">
        <f>IF(J49="","",TODAY()-J49)</f>
        <v/>
      </c>
      <c r="Q49" s="5">
        <f>IF(AND(M49&lt;&gt;"",M49&lt;TODAY(),ISNA(MATCH(H49,{"Won","Lost","Do not contact"},0))),"OVERDUE","")</f>
        <v/>
      </c>
    </row>
    <row r="50">
      <c r="A50" s="31" t="n"/>
      <c r="B50" s="32" t="n"/>
      <c r="C50" s="32" t="n"/>
      <c r="D50" s="32" t="n"/>
      <c r="E50" s="32" t="n"/>
      <c r="F50" s="32" t="n"/>
      <c r="G50" s="32" t="n"/>
      <c r="H50" s="32" t="n"/>
      <c r="I50" s="32" t="n"/>
      <c r="J50" s="31" t="n"/>
      <c r="K50" s="32" t="n"/>
      <c r="L50" s="32" t="n"/>
      <c r="M50" s="31" t="n"/>
      <c r="N50" s="32" t="n"/>
      <c r="O50" s="32" t="n"/>
      <c r="P50" s="33">
        <f>IF(J50="","",TODAY()-J50)</f>
        <v/>
      </c>
      <c r="Q50" s="5">
        <f>IF(AND(M50&lt;&gt;"",M50&lt;TODAY(),ISNA(MATCH(H50,{"Won","Lost","Do not contact"},0))),"OVERDUE","")</f>
        <v/>
      </c>
    </row>
    <row r="51">
      <c r="A51" s="31" t="n"/>
      <c r="B51" s="32" t="n"/>
      <c r="C51" s="32" t="n"/>
      <c r="D51" s="32" t="n"/>
      <c r="E51" s="32" t="n"/>
      <c r="F51" s="32" t="n"/>
      <c r="G51" s="32" t="n"/>
      <c r="H51" s="32" t="n"/>
      <c r="I51" s="32" t="n"/>
      <c r="J51" s="31" t="n"/>
      <c r="K51" s="32" t="n"/>
      <c r="L51" s="32" t="n"/>
      <c r="M51" s="31" t="n"/>
      <c r="N51" s="32" t="n"/>
      <c r="O51" s="32" t="n"/>
      <c r="P51" s="33">
        <f>IF(J51="","",TODAY()-J51)</f>
        <v/>
      </c>
      <c r="Q51" s="5">
        <f>IF(AND(M51&lt;&gt;"",M51&lt;TODAY(),ISNA(MATCH(H51,{"Won","Lost","Do not contact"},0))),"OVERDUE","")</f>
        <v/>
      </c>
    </row>
    <row r="52">
      <c r="A52" s="31" t="n"/>
      <c r="B52" s="32" t="n"/>
      <c r="C52" s="32" t="n"/>
      <c r="D52" s="32" t="n"/>
      <c r="E52" s="32" t="n"/>
      <c r="F52" s="32" t="n"/>
      <c r="G52" s="32" t="n"/>
      <c r="H52" s="32" t="n"/>
      <c r="I52" s="32" t="n"/>
      <c r="J52" s="31" t="n"/>
      <c r="K52" s="32" t="n"/>
      <c r="L52" s="32" t="n"/>
      <c r="M52" s="31" t="n"/>
      <c r="N52" s="32" t="n"/>
      <c r="O52" s="32" t="n"/>
      <c r="P52" s="33">
        <f>IF(J52="","",TODAY()-J52)</f>
        <v/>
      </c>
      <c r="Q52" s="5">
        <f>IF(AND(M52&lt;&gt;"",M52&lt;TODAY(),ISNA(MATCH(H52,{"Won","Lost","Do not contact"},0))),"OVERDUE","")</f>
        <v/>
      </c>
    </row>
    <row r="53">
      <c r="A53" s="31" t="n"/>
      <c r="B53" s="32" t="n"/>
      <c r="C53" s="32" t="n"/>
      <c r="D53" s="32" t="n"/>
      <c r="E53" s="32" t="n"/>
      <c r="F53" s="32" t="n"/>
      <c r="G53" s="32" t="n"/>
      <c r="H53" s="32" t="n"/>
      <c r="I53" s="32" t="n"/>
      <c r="J53" s="31" t="n"/>
      <c r="K53" s="32" t="n"/>
      <c r="L53" s="32" t="n"/>
      <c r="M53" s="31" t="n"/>
      <c r="N53" s="32" t="n"/>
      <c r="O53" s="32" t="n"/>
      <c r="P53" s="33">
        <f>IF(J53="","",TODAY()-J53)</f>
        <v/>
      </c>
      <c r="Q53" s="5">
        <f>IF(AND(M53&lt;&gt;"",M53&lt;TODAY(),ISNA(MATCH(H53,{"Won","Lost","Do not contact"},0))),"OVERDUE","")</f>
        <v/>
      </c>
    </row>
    <row r="54">
      <c r="A54" s="31" t="n"/>
      <c r="B54" s="32" t="n"/>
      <c r="C54" s="32" t="n"/>
      <c r="D54" s="32" t="n"/>
      <c r="E54" s="32" t="n"/>
      <c r="F54" s="32" t="n"/>
      <c r="G54" s="32" t="n"/>
      <c r="H54" s="32" t="n"/>
      <c r="I54" s="32" t="n"/>
      <c r="J54" s="31" t="n"/>
      <c r="K54" s="32" t="n"/>
      <c r="L54" s="32" t="n"/>
      <c r="M54" s="31" t="n"/>
      <c r="N54" s="32" t="n"/>
      <c r="O54" s="32" t="n"/>
      <c r="P54" s="33">
        <f>IF(J54="","",TODAY()-J54)</f>
        <v/>
      </c>
      <c r="Q54" s="5">
        <f>IF(AND(M54&lt;&gt;"",M54&lt;TODAY(),ISNA(MATCH(H54,{"Won","Lost","Do not contact"},0))),"OVERDUE","")</f>
        <v/>
      </c>
    </row>
    <row r="55">
      <c r="A55" s="31" t="n"/>
      <c r="B55" s="32" t="n"/>
      <c r="C55" s="32" t="n"/>
      <c r="D55" s="32" t="n"/>
      <c r="E55" s="32" t="n"/>
      <c r="F55" s="32" t="n"/>
      <c r="G55" s="32" t="n"/>
      <c r="H55" s="32" t="n"/>
      <c r="I55" s="32" t="n"/>
      <c r="J55" s="31" t="n"/>
      <c r="K55" s="32" t="n"/>
      <c r="L55" s="32" t="n"/>
      <c r="M55" s="31" t="n"/>
      <c r="N55" s="32" t="n"/>
      <c r="O55" s="32" t="n"/>
      <c r="P55" s="33">
        <f>IF(J55="","",TODAY()-J55)</f>
        <v/>
      </c>
      <c r="Q55" s="5">
        <f>IF(AND(M55&lt;&gt;"",M55&lt;TODAY(),ISNA(MATCH(H55,{"Won","Lost","Do not contact"},0))),"OVERDUE","")</f>
        <v/>
      </c>
    </row>
    <row r="56">
      <c r="A56" s="31" t="n"/>
      <c r="B56" s="32" t="n"/>
      <c r="C56" s="32" t="n"/>
      <c r="D56" s="32" t="n"/>
      <c r="E56" s="32" t="n"/>
      <c r="F56" s="32" t="n"/>
      <c r="G56" s="32" t="n"/>
      <c r="H56" s="32" t="n"/>
      <c r="I56" s="32" t="n"/>
      <c r="J56" s="31" t="n"/>
      <c r="K56" s="32" t="n"/>
      <c r="L56" s="32" t="n"/>
      <c r="M56" s="31" t="n"/>
      <c r="N56" s="32" t="n"/>
      <c r="O56" s="32" t="n"/>
      <c r="P56" s="33">
        <f>IF(J56="","",TODAY()-J56)</f>
        <v/>
      </c>
      <c r="Q56" s="5">
        <f>IF(AND(M56&lt;&gt;"",M56&lt;TODAY(),ISNA(MATCH(H56,{"Won","Lost","Do not contact"},0))),"OVERDUE","")</f>
        <v/>
      </c>
    </row>
    <row r="57">
      <c r="A57" s="31" t="n"/>
      <c r="B57" s="32" t="n"/>
      <c r="C57" s="32" t="n"/>
      <c r="D57" s="32" t="n"/>
      <c r="E57" s="32" t="n"/>
      <c r="F57" s="32" t="n"/>
      <c r="G57" s="32" t="n"/>
      <c r="H57" s="32" t="n"/>
      <c r="I57" s="32" t="n"/>
      <c r="J57" s="31" t="n"/>
      <c r="K57" s="32" t="n"/>
      <c r="L57" s="32" t="n"/>
      <c r="M57" s="31" t="n"/>
      <c r="N57" s="32" t="n"/>
      <c r="O57" s="32" t="n"/>
      <c r="P57" s="33">
        <f>IF(J57="","",TODAY()-J57)</f>
        <v/>
      </c>
      <c r="Q57" s="5">
        <f>IF(AND(M57&lt;&gt;"",M57&lt;TODAY(),ISNA(MATCH(H57,{"Won","Lost","Do not contact"},0))),"OVERDUE","")</f>
        <v/>
      </c>
    </row>
    <row r="58">
      <c r="A58" s="31" t="n"/>
      <c r="B58" s="32" t="n"/>
      <c r="C58" s="32" t="n"/>
      <c r="D58" s="32" t="n"/>
      <c r="E58" s="32" t="n"/>
      <c r="F58" s="32" t="n"/>
      <c r="G58" s="32" t="n"/>
      <c r="H58" s="32" t="n"/>
      <c r="I58" s="32" t="n"/>
      <c r="J58" s="31" t="n"/>
      <c r="K58" s="32" t="n"/>
      <c r="L58" s="32" t="n"/>
      <c r="M58" s="31" t="n"/>
      <c r="N58" s="32" t="n"/>
      <c r="O58" s="32" t="n"/>
      <c r="P58" s="33">
        <f>IF(J58="","",TODAY()-J58)</f>
        <v/>
      </c>
      <c r="Q58" s="5">
        <f>IF(AND(M58&lt;&gt;"",M58&lt;TODAY(),ISNA(MATCH(H58,{"Won","Lost","Do not contact"},0))),"OVERDUE","")</f>
        <v/>
      </c>
    </row>
    <row r="59">
      <c r="A59" s="31" t="n"/>
      <c r="B59" s="32" t="n"/>
      <c r="C59" s="32" t="n"/>
      <c r="D59" s="32" t="n"/>
      <c r="E59" s="32" t="n"/>
      <c r="F59" s="32" t="n"/>
      <c r="G59" s="32" t="n"/>
      <c r="H59" s="32" t="n"/>
      <c r="I59" s="32" t="n"/>
      <c r="J59" s="31" t="n"/>
      <c r="K59" s="32" t="n"/>
      <c r="L59" s="32" t="n"/>
      <c r="M59" s="31" t="n"/>
      <c r="N59" s="32" t="n"/>
      <c r="O59" s="32" t="n"/>
      <c r="P59" s="33">
        <f>IF(J59="","",TODAY()-J59)</f>
        <v/>
      </c>
      <c r="Q59" s="5">
        <f>IF(AND(M59&lt;&gt;"",M59&lt;TODAY(),ISNA(MATCH(H59,{"Won","Lost","Do not contact"},0))),"OVERDUE","")</f>
        <v/>
      </c>
    </row>
    <row r="60">
      <c r="A60" s="31" t="n"/>
      <c r="B60" s="32" t="n"/>
      <c r="C60" s="32" t="n"/>
      <c r="D60" s="32" t="n"/>
      <c r="E60" s="32" t="n"/>
      <c r="F60" s="32" t="n"/>
      <c r="G60" s="32" t="n"/>
      <c r="H60" s="32" t="n"/>
      <c r="I60" s="32" t="n"/>
      <c r="J60" s="31" t="n"/>
      <c r="K60" s="32" t="n"/>
      <c r="L60" s="32" t="n"/>
      <c r="M60" s="31" t="n"/>
      <c r="N60" s="32" t="n"/>
      <c r="O60" s="32" t="n"/>
      <c r="P60" s="33">
        <f>IF(J60="","",TODAY()-J60)</f>
        <v/>
      </c>
      <c r="Q60" s="5">
        <f>IF(AND(M60&lt;&gt;"",M60&lt;TODAY(),ISNA(MATCH(H60,{"Won","Lost","Do not contact"},0))),"OVERDUE","")</f>
        <v/>
      </c>
    </row>
    <row r="61">
      <c r="A61" s="31" t="n"/>
      <c r="B61" s="32" t="n"/>
      <c r="C61" s="32" t="n"/>
      <c r="D61" s="32" t="n"/>
      <c r="E61" s="32" t="n"/>
      <c r="F61" s="32" t="n"/>
      <c r="G61" s="32" t="n"/>
      <c r="H61" s="32" t="n"/>
      <c r="I61" s="32" t="n"/>
      <c r="J61" s="31" t="n"/>
      <c r="K61" s="32" t="n"/>
      <c r="L61" s="32" t="n"/>
      <c r="M61" s="31" t="n"/>
      <c r="N61" s="32" t="n"/>
      <c r="O61" s="32" t="n"/>
      <c r="P61" s="33">
        <f>IF(J61="","",TODAY()-J61)</f>
        <v/>
      </c>
      <c r="Q61" s="5">
        <f>IF(AND(M61&lt;&gt;"",M61&lt;TODAY(),ISNA(MATCH(H61,{"Won","Lost","Do not contact"},0))),"OVERDUE","")</f>
        <v/>
      </c>
    </row>
    <row r="62">
      <c r="A62" s="31" t="n"/>
      <c r="B62" s="32" t="n"/>
      <c r="C62" s="32" t="n"/>
      <c r="D62" s="32" t="n"/>
      <c r="E62" s="32" t="n"/>
      <c r="F62" s="32" t="n"/>
      <c r="G62" s="32" t="n"/>
      <c r="H62" s="32" t="n"/>
      <c r="I62" s="32" t="n"/>
      <c r="J62" s="31" t="n"/>
      <c r="K62" s="32" t="n"/>
      <c r="L62" s="32" t="n"/>
      <c r="M62" s="31" t="n"/>
      <c r="N62" s="32" t="n"/>
      <c r="O62" s="32" t="n"/>
      <c r="P62" s="33">
        <f>IF(J62="","",TODAY()-J62)</f>
        <v/>
      </c>
      <c r="Q62" s="5">
        <f>IF(AND(M62&lt;&gt;"",M62&lt;TODAY(),ISNA(MATCH(H62,{"Won","Lost","Do not contact"},0))),"OVERDUE","")</f>
        <v/>
      </c>
    </row>
    <row r="63">
      <c r="A63" s="31" t="n"/>
      <c r="B63" s="32" t="n"/>
      <c r="C63" s="32" t="n"/>
      <c r="D63" s="32" t="n"/>
      <c r="E63" s="32" t="n"/>
      <c r="F63" s="32" t="n"/>
      <c r="G63" s="32" t="n"/>
      <c r="H63" s="32" t="n"/>
      <c r="I63" s="32" t="n"/>
      <c r="J63" s="31" t="n"/>
      <c r="K63" s="32" t="n"/>
      <c r="L63" s="32" t="n"/>
      <c r="M63" s="31" t="n"/>
      <c r="N63" s="32" t="n"/>
      <c r="O63" s="32" t="n"/>
      <c r="P63" s="33">
        <f>IF(J63="","",TODAY()-J63)</f>
        <v/>
      </c>
      <c r="Q63" s="5">
        <f>IF(AND(M63&lt;&gt;"",M63&lt;TODAY(),ISNA(MATCH(H63,{"Won","Lost","Do not contact"},0))),"OVERDUE","")</f>
        <v/>
      </c>
    </row>
    <row r="64">
      <c r="A64" s="31" t="n"/>
      <c r="B64" s="32" t="n"/>
      <c r="C64" s="32" t="n"/>
      <c r="D64" s="32" t="n"/>
      <c r="E64" s="32" t="n"/>
      <c r="F64" s="32" t="n"/>
      <c r="G64" s="32" t="n"/>
      <c r="H64" s="32" t="n"/>
      <c r="I64" s="32" t="n"/>
      <c r="J64" s="31" t="n"/>
      <c r="K64" s="32" t="n"/>
      <c r="L64" s="32" t="n"/>
      <c r="M64" s="31" t="n"/>
      <c r="N64" s="32" t="n"/>
      <c r="O64" s="32" t="n"/>
      <c r="P64" s="33">
        <f>IF(J64="","",TODAY()-J64)</f>
        <v/>
      </c>
      <c r="Q64" s="5">
        <f>IF(AND(M64&lt;&gt;"",M64&lt;TODAY(),ISNA(MATCH(H64,{"Won","Lost","Do not contact"},0))),"OVERDUE","")</f>
        <v/>
      </c>
    </row>
    <row r="65">
      <c r="A65" s="31" t="n"/>
      <c r="B65" s="32" t="n"/>
      <c r="C65" s="32" t="n"/>
      <c r="D65" s="32" t="n"/>
      <c r="E65" s="32" t="n"/>
      <c r="F65" s="32" t="n"/>
      <c r="G65" s="32" t="n"/>
      <c r="H65" s="32" t="n"/>
      <c r="I65" s="32" t="n"/>
      <c r="J65" s="31" t="n"/>
      <c r="K65" s="32" t="n"/>
      <c r="L65" s="32" t="n"/>
      <c r="M65" s="31" t="n"/>
      <c r="N65" s="32" t="n"/>
      <c r="O65" s="32" t="n"/>
      <c r="P65" s="33">
        <f>IF(J65="","",TODAY()-J65)</f>
        <v/>
      </c>
      <c r="Q65" s="5">
        <f>IF(AND(M65&lt;&gt;"",M65&lt;TODAY(),ISNA(MATCH(H65,{"Won","Lost","Do not contact"},0))),"OVERDUE","")</f>
        <v/>
      </c>
    </row>
    <row r="66">
      <c r="A66" s="31" t="n"/>
      <c r="B66" s="32" t="n"/>
      <c r="C66" s="32" t="n"/>
      <c r="D66" s="32" t="n"/>
      <c r="E66" s="32" t="n"/>
      <c r="F66" s="32" t="n"/>
      <c r="G66" s="32" t="n"/>
      <c r="H66" s="32" t="n"/>
      <c r="I66" s="32" t="n"/>
      <c r="J66" s="31" t="n"/>
      <c r="K66" s="32" t="n"/>
      <c r="L66" s="32" t="n"/>
      <c r="M66" s="31" t="n"/>
      <c r="N66" s="32" t="n"/>
      <c r="O66" s="32" t="n"/>
      <c r="P66" s="33">
        <f>IF(J66="","",TODAY()-J66)</f>
        <v/>
      </c>
      <c r="Q66" s="5">
        <f>IF(AND(M66&lt;&gt;"",M66&lt;TODAY(),ISNA(MATCH(H66,{"Won","Lost","Do not contact"},0))),"OVERDUE","")</f>
        <v/>
      </c>
    </row>
    <row r="67">
      <c r="A67" s="31" t="n"/>
      <c r="B67" s="32" t="n"/>
      <c r="C67" s="32" t="n"/>
      <c r="D67" s="32" t="n"/>
      <c r="E67" s="32" t="n"/>
      <c r="F67" s="32" t="n"/>
      <c r="G67" s="32" t="n"/>
      <c r="H67" s="32" t="n"/>
      <c r="I67" s="32" t="n"/>
      <c r="J67" s="31" t="n"/>
      <c r="K67" s="32" t="n"/>
      <c r="L67" s="32" t="n"/>
      <c r="M67" s="31" t="n"/>
      <c r="N67" s="32" t="n"/>
      <c r="O67" s="32" t="n"/>
      <c r="P67" s="33">
        <f>IF(J67="","",TODAY()-J67)</f>
        <v/>
      </c>
      <c r="Q67" s="5">
        <f>IF(AND(M67&lt;&gt;"",M67&lt;TODAY(),ISNA(MATCH(H67,{"Won","Lost","Do not contact"},0))),"OVERDUE","")</f>
        <v/>
      </c>
    </row>
    <row r="68">
      <c r="A68" s="31" t="n"/>
      <c r="B68" s="32" t="n"/>
      <c r="C68" s="32" t="n"/>
      <c r="D68" s="32" t="n"/>
      <c r="E68" s="32" t="n"/>
      <c r="F68" s="32" t="n"/>
      <c r="G68" s="32" t="n"/>
      <c r="H68" s="32" t="n"/>
      <c r="I68" s="32" t="n"/>
      <c r="J68" s="31" t="n"/>
      <c r="K68" s="32" t="n"/>
      <c r="L68" s="32" t="n"/>
      <c r="M68" s="31" t="n"/>
      <c r="N68" s="32" t="n"/>
      <c r="O68" s="32" t="n"/>
      <c r="P68" s="33">
        <f>IF(J68="","",TODAY()-J68)</f>
        <v/>
      </c>
      <c r="Q68" s="5">
        <f>IF(AND(M68&lt;&gt;"",M68&lt;TODAY(),ISNA(MATCH(H68,{"Won","Lost","Do not contact"},0))),"OVERDUE","")</f>
        <v/>
      </c>
    </row>
    <row r="69">
      <c r="A69" s="31" t="n"/>
      <c r="B69" s="32" t="n"/>
      <c r="C69" s="32" t="n"/>
      <c r="D69" s="32" t="n"/>
      <c r="E69" s="32" t="n"/>
      <c r="F69" s="32" t="n"/>
      <c r="G69" s="32" t="n"/>
      <c r="H69" s="32" t="n"/>
      <c r="I69" s="32" t="n"/>
      <c r="J69" s="31" t="n"/>
      <c r="K69" s="32" t="n"/>
      <c r="L69" s="32" t="n"/>
      <c r="M69" s="31" t="n"/>
      <c r="N69" s="32" t="n"/>
      <c r="O69" s="32" t="n"/>
      <c r="P69" s="33">
        <f>IF(J69="","",TODAY()-J69)</f>
        <v/>
      </c>
      <c r="Q69" s="5">
        <f>IF(AND(M69&lt;&gt;"",M69&lt;TODAY(),ISNA(MATCH(H69,{"Won","Lost","Do not contact"},0))),"OVERDUE","")</f>
        <v/>
      </c>
    </row>
    <row r="70">
      <c r="A70" s="31" t="n"/>
      <c r="B70" s="32" t="n"/>
      <c r="C70" s="32" t="n"/>
      <c r="D70" s="32" t="n"/>
      <c r="E70" s="32" t="n"/>
      <c r="F70" s="32" t="n"/>
      <c r="G70" s="32" t="n"/>
      <c r="H70" s="32" t="n"/>
      <c r="I70" s="32" t="n"/>
      <c r="J70" s="31" t="n"/>
      <c r="K70" s="32" t="n"/>
      <c r="L70" s="32" t="n"/>
      <c r="M70" s="31" t="n"/>
      <c r="N70" s="32" t="n"/>
      <c r="O70" s="32" t="n"/>
      <c r="P70" s="33">
        <f>IF(J70="","",TODAY()-J70)</f>
        <v/>
      </c>
      <c r="Q70" s="5">
        <f>IF(AND(M70&lt;&gt;"",M70&lt;TODAY(),ISNA(MATCH(H70,{"Won","Lost","Do not contact"},0))),"OVERDUE","")</f>
        <v/>
      </c>
    </row>
    <row r="71">
      <c r="A71" s="31" t="n"/>
      <c r="B71" s="32" t="n"/>
      <c r="C71" s="32" t="n"/>
      <c r="D71" s="32" t="n"/>
      <c r="E71" s="32" t="n"/>
      <c r="F71" s="32" t="n"/>
      <c r="G71" s="32" t="n"/>
      <c r="H71" s="32" t="n"/>
      <c r="I71" s="32" t="n"/>
      <c r="J71" s="31" t="n"/>
      <c r="K71" s="32" t="n"/>
      <c r="L71" s="32" t="n"/>
      <c r="M71" s="31" t="n"/>
      <c r="N71" s="32" t="n"/>
      <c r="O71" s="32" t="n"/>
      <c r="P71" s="33">
        <f>IF(J71="","",TODAY()-J71)</f>
        <v/>
      </c>
      <c r="Q71" s="5">
        <f>IF(AND(M71&lt;&gt;"",M71&lt;TODAY(),ISNA(MATCH(H71,{"Won","Lost","Do not contact"},0))),"OVERDUE","")</f>
        <v/>
      </c>
    </row>
    <row r="72">
      <c r="A72" s="31" t="n"/>
      <c r="B72" s="32" t="n"/>
      <c r="C72" s="32" t="n"/>
      <c r="D72" s="32" t="n"/>
      <c r="E72" s="32" t="n"/>
      <c r="F72" s="32" t="n"/>
      <c r="G72" s="32" t="n"/>
      <c r="H72" s="32" t="n"/>
      <c r="I72" s="32" t="n"/>
      <c r="J72" s="31" t="n"/>
      <c r="K72" s="32" t="n"/>
      <c r="L72" s="32" t="n"/>
      <c r="M72" s="31" t="n"/>
      <c r="N72" s="32" t="n"/>
      <c r="O72" s="32" t="n"/>
      <c r="P72" s="33">
        <f>IF(J72="","",TODAY()-J72)</f>
        <v/>
      </c>
      <c r="Q72" s="5">
        <f>IF(AND(M72&lt;&gt;"",M72&lt;TODAY(),ISNA(MATCH(H72,{"Won","Lost","Do not contact"},0))),"OVERDUE","")</f>
        <v/>
      </c>
    </row>
    <row r="73">
      <c r="A73" s="31" t="n"/>
      <c r="B73" s="32" t="n"/>
      <c r="C73" s="32" t="n"/>
      <c r="D73" s="32" t="n"/>
      <c r="E73" s="32" t="n"/>
      <c r="F73" s="32" t="n"/>
      <c r="G73" s="32" t="n"/>
      <c r="H73" s="32" t="n"/>
      <c r="I73" s="32" t="n"/>
      <c r="J73" s="31" t="n"/>
      <c r="K73" s="32" t="n"/>
      <c r="L73" s="32" t="n"/>
      <c r="M73" s="31" t="n"/>
      <c r="N73" s="32" t="n"/>
      <c r="O73" s="32" t="n"/>
      <c r="P73" s="33">
        <f>IF(J73="","",TODAY()-J73)</f>
        <v/>
      </c>
      <c r="Q73" s="5">
        <f>IF(AND(M73&lt;&gt;"",M73&lt;TODAY(),ISNA(MATCH(H73,{"Won","Lost","Do not contact"},0))),"OVERDUE","")</f>
        <v/>
      </c>
    </row>
    <row r="74">
      <c r="A74" s="31" t="n"/>
      <c r="B74" s="32" t="n"/>
      <c r="C74" s="32" t="n"/>
      <c r="D74" s="32" t="n"/>
      <c r="E74" s="32" t="n"/>
      <c r="F74" s="32" t="n"/>
      <c r="G74" s="32" t="n"/>
      <c r="H74" s="32" t="n"/>
      <c r="I74" s="32" t="n"/>
      <c r="J74" s="31" t="n"/>
      <c r="K74" s="32" t="n"/>
      <c r="L74" s="32" t="n"/>
      <c r="M74" s="31" t="n"/>
      <c r="N74" s="32" t="n"/>
      <c r="O74" s="32" t="n"/>
      <c r="P74" s="33">
        <f>IF(J74="","",TODAY()-J74)</f>
        <v/>
      </c>
      <c r="Q74" s="5">
        <f>IF(AND(M74&lt;&gt;"",M74&lt;TODAY(),ISNA(MATCH(H74,{"Won","Lost","Do not contact"},0))),"OVERDUE","")</f>
        <v/>
      </c>
    </row>
    <row r="75">
      <c r="A75" s="31" t="n"/>
      <c r="B75" s="32" t="n"/>
      <c r="C75" s="32" t="n"/>
      <c r="D75" s="32" t="n"/>
      <c r="E75" s="32" t="n"/>
      <c r="F75" s="32" t="n"/>
      <c r="G75" s="32" t="n"/>
      <c r="H75" s="32" t="n"/>
      <c r="I75" s="32" t="n"/>
      <c r="J75" s="31" t="n"/>
      <c r="K75" s="32" t="n"/>
      <c r="L75" s="32" t="n"/>
      <c r="M75" s="31" t="n"/>
      <c r="N75" s="32" t="n"/>
      <c r="O75" s="32" t="n"/>
      <c r="P75" s="33">
        <f>IF(J75="","",TODAY()-J75)</f>
        <v/>
      </c>
      <c r="Q75" s="5">
        <f>IF(AND(M75&lt;&gt;"",M75&lt;TODAY(),ISNA(MATCH(H75,{"Won","Lost","Do not contact"},0))),"OVERDUE","")</f>
        <v/>
      </c>
    </row>
    <row r="76">
      <c r="A76" s="31" t="n"/>
      <c r="B76" s="32" t="n"/>
      <c r="C76" s="32" t="n"/>
      <c r="D76" s="32" t="n"/>
      <c r="E76" s="32" t="n"/>
      <c r="F76" s="32" t="n"/>
      <c r="G76" s="32" t="n"/>
      <c r="H76" s="32" t="n"/>
      <c r="I76" s="32" t="n"/>
      <c r="J76" s="31" t="n"/>
      <c r="K76" s="32" t="n"/>
      <c r="L76" s="32" t="n"/>
      <c r="M76" s="31" t="n"/>
      <c r="N76" s="32" t="n"/>
      <c r="O76" s="32" t="n"/>
      <c r="P76" s="33">
        <f>IF(J76="","",TODAY()-J76)</f>
        <v/>
      </c>
      <c r="Q76" s="5">
        <f>IF(AND(M76&lt;&gt;"",M76&lt;TODAY(),ISNA(MATCH(H76,{"Won","Lost","Do not contact"},0))),"OVERDUE","")</f>
        <v/>
      </c>
    </row>
    <row r="77">
      <c r="A77" s="31" t="n"/>
      <c r="B77" s="32" t="n"/>
      <c r="C77" s="32" t="n"/>
      <c r="D77" s="32" t="n"/>
      <c r="E77" s="32" t="n"/>
      <c r="F77" s="32" t="n"/>
      <c r="G77" s="32" t="n"/>
      <c r="H77" s="32" t="n"/>
      <c r="I77" s="32" t="n"/>
      <c r="J77" s="31" t="n"/>
      <c r="K77" s="32" t="n"/>
      <c r="L77" s="32" t="n"/>
      <c r="M77" s="31" t="n"/>
      <c r="N77" s="32" t="n"/>
      <c r="O77" s="32" t="n"/>
      <c r="P77" s="33">
        <f>IF(J77="","",TODAY()-J77)</f>
        <v/>
      </c>
      <c r="Q77" s="5">
        <f>IF(AND(M77&lt;&gt;"",M77&lt;TODAY(),ISNA(MATCH(H77,{"Won","Lost","Do not contact"},0))),"OVERDUE","")</f>
        <v/>
      </c>
    </row>
    <row r="78">
      <c r="A78" s="31" t="n"/>
      <c r="B78" s="32" t="n"/>
      <c r="C78" s="32" t="n"/>
      <c r="D78" s="32" t="n"/>
      <c r="E78" s="32" t="n"/>
      <c r="F78" s="32" t="n"/>
      <c r="G78" s="32" t="n"/>
      <c r="H78" s="32" t="n"/>
      <c r="I78" s="32" t="n"/>
      <c r="J78" s="31" t="n"/>
      <c r="K78" s="32" t="n"/>
      <c r="L78" s="32" t="n"/>
      <c r="M78" s="31" t="n"/>
      <c r="N78" s="32" t="n"/>
      <c r="O78" s="32" t="n"/>
      <c r="P78" s="33">
        <f>IF(J78="","",TODAY()-J78)</f>
        <v/>
      </c>
      <c r="Q78" s="5">
        <f>IF(AND(M78&lt;&gt;"",M78&lt;TODAY(),ISNA(MATCH(H78,{"Won","Lost","Do not contact"},0))),"OVERDUE","")</f>
        <v/>
      </c>
    </row>
    <row r="79">
      <c r="A79" s="31" t="n"/>
      <c r="B79" s="32" t="n"/>
      <c r="C79" s="32" t="n"/>
      <c r="D79" s="32" t="n"/>
      <c r="E79" s="32" t="n"/>
      <c r="F79" s="32" t="n"/>
      <c r="G79" s="32" t="n"/>
      <c r="H79" s="32" t="n"/>
      <c r="I79" s="32" t="n"/>
      <c r="J79" s="31" t="n"/>
      <c r="K79" s="32" t="n"/>
      <c r="L79" s="32" t="n"/>
      <c r="M79" s="31" t="n"/>
      <c r="N79" s="32" t="n"/>
      <c r="O79" s="32" t="n"/>
      <c r="P79" s="33">
        <f>IF(J79="","",TODAY()-J79)</f>
        <v/>
      </c>
      <c r="Q79" s="5">
        <f>IF(AND(M79&lt;&gt;"",M79&lt;TODAY(),ISNA(MATCH(H79,{"Won","Lost","Do not contact"},0))),"OVERDUE","")</f>
        <v/>
      </c>
    </row>
    <row r="80">
      <c r="A80" s="31" t="n"/>
      <c r="B80" s="32" t="n"/>
      <c r="C80" s="32" t="n"/>
      <c r="D80" s="32" t="n"/>
      <c r="E80" s="32" t="n"/>
      <c r="F80" s="32" t="n"/>
      <c r="G80" s="32" t="n"/>
      <c r="H80" s="32" t="n"/>
      <c r="I80" s="32" t="n"/>
      <c r="J80" s="31" t="n"/>
      <c r="K80" s="32" t="n"/>
      <c r="L80" s="32" t="n"/>
      <c r="M80" s="31" t="n"/>
      <c r="N80" s="32" t="n"/>
      <c r="O80" s="32" t="n"/>
      <c r="P80" s="33">
        <f>IF(J80="","",TODAY()-J80)</f>
        <v/>
      </c>
      <c r="Q80" s="5">
        <f>IF(AND(M80&lt;&gt;"",M80&lt;TODAY(),ISNA(MATCH(H80,{"Won","Lost","Do not contact"},0))),"OVERDUE","")</f>
        <v/>
      </c>
    </row>
    <row r="81">
      <c r="A81" s="31" t="n"/>
      <c r="B81" s="32" t="n"/>
      <c r="C81" s="32" t="n"/>
      <c r="D81" s="32" t="n"/>
      <c r="E81" s="32" t="n"/>
      <c r="F81" s="32" t="n"/>
      <c r="G81" s="32" t="n"/>
      <c r="H81" s="32" t="n"/>
      <c r="I81" s="32" t="n"/>
      <c r="J81" s="31" t="n"/>
      <c r="K81" s="32" t="n"/>
      <c r="L81" s="32" t="n"/>
      <c r="M81" s="31" t="n"/>
      <c r="N81" s="32" t="n"/>
      <c r="O81" s="32" t="n"/>
      <c r="P81" s="33">
        <f>IF(J81="","",TODAY()-J81)</f>
        <v/>
      </c>
      <c r="Q81" s="5">
        <f>IF(AND(M81&lt;&gt;"",M81&lt;TODAY(),ISNA(MATCH(H81,{"Won","Lost","Do not contact"},0))),"OVERDUE","")</f>
        <v/>
      </c>
    </row>
    <row r="82">
      <c r="A82" s="31" t="n"/>
      <c r="B82" s="32" t="n"/>
      <c r="C82" s="32" t="n"/>
      <c r="D82" s="32" t="n"/>
      <c r="E82" s="32" t="n"/>
      <c r="F82" s="32" t="n"/>
      <c r="G82" s="32" t="n"/>
      <c r="H82" s="32" t="n"/>
      <c r="I82" s="32" t="n"/>
      <c r="J82" s="31" t="n"/>
      <c r="K82" s="32" t="n"/>
      <c r="L82" s="32" t="n"/>
      <c r="M82" s="31" t="n"/>
      <c r="N82" s="32" t="n"/>
      <c r="O82" s="32" t="n"/>
      <c r="P82" s="33">
        <f>IF(J82="","",TODAY()-J82)</f>
        <v/>
      </c>
      <c r="Q82" s="5">
        <f>IF(AND(M82&lt;&gt;"",M82&lt;TODAY(),ISNA(MATCH(H82,{"Won","Lost","Do not contact"},0))),"OVERDUE","")</f>
        <v/>
      </c>
    </row>
    <row r="83">
      <c r="A83" s="31" t="n"/>
      <c r="B83" s="32" t="n"/>
      <c r="C83" s="32" t="n"/>
      <c r="D83" s="32" t="n"/>
      <c r="E83" s="32" t="n"/>
      <c r="F83" s="32" t="n"/>
      <c r="G83" s="32" t="n"/>
      <c r="H83" s="32" t="n"/>
      <c r="I83" s="32" t="n"/>
      <c r="J83" s="31" t="n"/>
      <c r="K83" s="32" t="n"/>
      <c r="L83" s="32" t="n"/>
      <c r="M83" s="31" t="n"/>
      <c r="N83" s="32" t="n"/>
      <c r="O83" s="32" t="n"/>
      <c r="P83" s="33">
        <f>IF(J83="","",TODAY()-J83)</f>
        <v/>
      </c>
      <c r="Q83" s="5">
        <f>IF(AND(M83&lt;&gt;"",M83&lt;TODAY(),ISNA(MATCH(H83,{"Won","Lost","Do not contact"},0))),"OVERDUE","")</f>
        <v/>
      </c>
    </row>
    <row r="84">
      <c r="A84" s="31" t="n"/>
      <c r="B84" s="32" t="n"/>
      <c r="C84" s="32" t="n"/>
      <c r="D84" s="32" t="n"/>
      <c r="E84" s="32" t="n"/>
      <c r="F84" s="32" t="n"/>
      <c r="G84" s="32" t="n"/>
      <c r="H84" s="32" t="n"/>
      <c r="I84" s="32" t="n"/>
      <c r="J84" s="31" t="n"/>
      <c r="K84" s="32" t="n"/>
      <c r="L84" s="32" t="n"/>
      <c r="M84" s="31" t="n"/>
      <c r="N84" s="32" t="n"/>
      <c r="O84" s="32" t="n"/>
      <c r="P84" s="33">
        <f>IF(J84="","",TODAY()-J84)</f>
        <v/>
      </c>
      <c r="Q84" s="5">
        <f>IF(AND(M84&lt;&gt;"",M84&lt;TODAY(),ISNA(MATCH(H84,{"Won","Lost","Do not contact"},0))),"OVERDUE","")</f>
        <v/>
      </c>
    </row>
    <row r="85">
      <c r="A85" s="31" t="n"/>
      <c r="B85" s="32" t="n"/>
      <c r="C85" s="32" t="n"/>
      <c r="D85" s="32" t="n"/>
      <c r="E85" s="32" t="n"/>
      <c r="F85" s="32" t="n"/>
      <c r="G85" s="32" t="n"/>
      <c r="H85" s="32" t="n"/>
      <c r="I85" s="32" t="n"/>
      <c r="J85" s="31" t="n"/>
      <c r="K85" s="32" t="n"/>
      <c r="L85" s="32" t="n"/>
      <c r="M85" s="31" t="n"/>
      <c r="N85" s="32" t="n"/>
      <c r="O85" s="32" t="n"/>
      <c r="P85" s="33">
        <f>IF(J85="","",TODAY()-J85)</f>
        <v/>
      </c>
      <c r="Q85" s="5">
        <f>IF(AND(M85&lt;&gt;"",M85&lt;TODAY(),ISNA(MATCH(H85,{"Won","Lost","Do not contact"},0))),"OVERDUE","")</f>
        <v/>
      </c>
    </row>
    <row r="86">
      <c r="A86" s="31" t="n"/>
      <c r="B86" s="32" t="n"/>
      <c r="C86" s="32" t="n"/>
      <c r="D86" s="32" t="n"/>
      <c r="E86" s="32" t="n"/>
      <c r="F86" s="32" t="n"/>
      <c r="G86" s="32" t="n"/>
      <c r="H86" s="32" t="n"/>
      <c r="I86" s="32" t="n"/>
      <c r="J86" s="31" t="n"/>
      <c r="K86" s="32" t="n"/>
      <c r="L86" s="32" t="n"/>
      <c r="M86" s="31" t="n"/>
      <c r="N86" s="32" t="n"/>
      <c r="O86" s="32" t="n"/>
      <c r="P86" s="33">
        <f>IF(J86="","",TODAY()-J86)</f>
        <v/>
      </c>
      <c r="Q86" s="5">
        <f>IF(AND(M86&lt;&gt;"",M86&lt;TODAY(),ISNA(MATCH(H86,{"Won","Lost","Do not contact"},0))),"OVERDUE","")</f>
        <v/>
      </c>
    </row>
    <row r="87">
      <c r="A87" s="31" t="n"/>
      <c r="B87" s="32" t="n"/>
      <c r="C87" s="32" t="n"/>
      <c r="D87" s="32" t="n"/>
      <c r="E87" s="32" t="n"/>
      <c r="F87" s="32" t="n"/>
      <c r="G87" s="32" t="n"/>
      <c r="H87" s="32" t="n"/>
      <c r="I87" s="32" t="n"/>
      <c r="J87" s="31" t="n"/>
      <c r="K87" s="32" t="n"/>
      <c r="L87" s="32" t="n"/>
      <c r="M87" s="31" t="n"/>
      <c r="N87" s="32" t="n"/>
      <c r="O87" s="32" t="n"/>
      <c r="P87" s="33">
        <f>IF(J87="","",TODAY()-J87)</f>
        <v/>
      </c>
      <c r="Q87" s="5">
        <f>IF(AND(M87&lt;&gt;"",M87&lt;TODAY(),ISNA(MATCH(H87,{"Won","Lost","Do not contact"},0))),"OVERDUE","")</f>
        <v/>
      </c>
    </row>
    <row r="88">
      <c r="A88" s="31" t="n"/>
      <c r="B88" s="32" t="n"/>
      <c r="C88" s="32" t="n"/>
      <c r="D88" s="32" t="n"/>
      <c r="E88" s="32" t="n"/>
      <c r="F88" s="32" t="n"/>
      <c r="G88" s="32" t="n"/>
      <c r="H88" s="32" t="n"/>
      <c r="I88" s="32" t="n"/>
      <c r="J88" s="31" t="n"/>
      <c r="K88" s="32" t="n"/>
      <c r="L88" s="32" t="n"/>
      <c r="M88" s="31" t="n"/>
      <c r="N88" s="32" t="n"/>
      <c r="O88" s="32" t="n"/>
      <c r="P88" s="33">
        <f>IF(J88="","",TODAY()-J88)</f>
        <v/>
      </c>
      <c r="Q88" s="5">
        <f>IF(AND(M88&lt;&gt;"",M88&lt;TODAY(),ISNA(MATCH(H88,{"Won","Lost","Do not contact"},0))),"OVERDUE","")</f>
        <v/>
      </c>
    </row>
    <row r="89">
      <c r="A89" s="31" t="n"/>
      <c r="B89" s="32" t="n"/>
      <c r="C89" s="32" t="n"/>
      <c r="D89" s="32" t="n"/>
      <c r="E89" s="32" t="n"/>
      <c r="F89" s="32" t="n"/>
      <c r="G89" s="32" t="n"/>
      <c r="H89" s="32" t="n"/>
      <c r="I89" s="32" t="n"/>
      <c r="J89" s="31" t="n"/>
      <c r="K89" s="32" t="n"/>
      <c r="L89" s="32" t="n"/>
      <c r="M89" s="31" t="n"/>
      <c r="N89" s="32" t="n"/>
      <c r="O89" s="32" t="n"/>
      <c r="P89" s="33">
        <f>IF(J89="","",TODAY()-J89)</f>
        <v/>
      </c>
      <c r="Q89" s="5">
        <f>IF(AND(M89&lt;&gt;"",M89&lt;TODAY(),ISNA(MATCH(H89,{"Won","Lost","Do not contact"},0))),"OVERDUE","")</f>
        <v/>
      </c>
    </row>
    <row r="90">
      <c r="A90" s="31" t="n"/>
      <c r="B90" s="32" t="n"/>
      <c r="C90" s="32" t="n"/>
      <c r="D90" s="32" t="n"/>
      <c r="E90" s="32" t="n"/>
      <c r="F90" s="32" t="n"/>
      <c r="G90" s="32" t="n"/>
      <c r="H90" s="32" t="n"/>
      <c r="I90" s="32" t="n"/>
      <c r="J90" s="31" t="n"/>
      <c r="K90" s="32" t="n"/>
      <c r="L90" s="32" t="n"/>
      <c r="M90" s="31" t="n"/>
      <c r="N90" s="32" t="n"/>
      <c r="O90" s="32" t="n"/>
      <c r="P90" s="33">
        <f>IF(J90="","",TODAY()-J90)</f>
        <v/>
      </c>
      <c r="Q90" s="5">
        <f>IF(AND(M90&lt;&gt;"",M90&lt;TODAY(),ISNA(MATCH(H90,{"Won","Lost","Do not contact"},0))),"OVERDUE","")</f>
        <v/>
      </c>
    </row>
    <row r="91">
      <c r="A91" s="31" t="n"/>
      <c r="B91" s="32" t="n"/>
      <c r="C91" s="32" t="n"/>
      <c r="D91" s="32" t="n"/>
      <c r="E91" s="32" t="n"/>
      <c r="F91" s="32" t="n"/>
      <c r="G91" s="32" t="n"/>
      <c r="H91" s="32" t="n"/>
      <c r="I91" s="32" t="n"/>
      <c r="J91" s="31" t="n"/>
      <c r="K91" s="32" t="n"/>
      <c r="L91" s="32" t="n"/>
      <c r="M91" s="31" t="n"/>
      <c r="N91" s="32" t="n"/>
      <c r="O91" s="32" t="n"/>
      <c r="P91" s="33">
        <f>IF(J91="","",TODAY()-J91)</f>
        <v/>
      </c>
      <c r="Q91" s="5">
        <f>IF(AND(M91&lt;&gt;"",M91&lt;TODAY(),ISNA(MATCH(H91,{"Won","Lost","Do not contact"},0))),"OVERDUE","")</f>
        <v/>
      </c>
    </row>
    <row r="92">
      <c r="A92" s="31" t="n"/>
      <c r="B92" s="32" t="n"/>
      <c r="C92" s="32" t="n"/>
      <c r="D92" s="32" t="n"/>
      <c r="E92" s="32" t="n"/>
      <c r="F92" s="32" t="n"/>
      <c r="G92" s="32" t="n"/>
      <c r="H92" s="32" t="n"/>
      <c r="I92" s="32" t="n"/>
      <c r="J92" s="31" t="n"/>
      <c r="K92" s="32" t="n"/>
      <c r="L92" s="32" t="n"/>
      <c r="M92" s="31" t="n"/>
      <c r="N92" s="32" t="n"/>
      <c r="O92" s="32" t="n"/>
      <c r="P92" s="33">
        <f>IF(J92="","",TODAY()-J92)</f>
        <v/>
      </c>
      <c r="Q92" s="5">
        <f>IF(AND(M92&lt;&gt;"",M92&lt;TODAY(),ISNA(MATCH(H92,{"Won","Lost","Do not contact"},0))),"OVERDUE","")</f>
        <v/>
      </c>
    </row>
    <row r="93">
      <c r="A93" s="31" t="n"/>
      <c r="B93" s="32" t="n"/>
      <c r="C93" s="32" t="n"/>
      <c r="D93" s="32" t="n"/>
      <c r="E93" s="32" t="n"/>
      <c r="F93" s="32" t="n"/>
      <c r="G93" s="32" t="n"/>
      <c r="H93" s="32" t="n"/>
      <c r="I93" s="32" t="n"/>
      <c r="J93" s="31" t="n"/>
      <c r="K93" s="32" t="n"/>
      <c r="L93" s="32" t="n"/>
      <c r="M93" s="31" t="n"/>
      <c r="N93" s="32" t="n"/>
      <c r="O93" s="32" t="n"/>
      <c r="P93" s="33">
        <f>IF(J93="","",TODAY()-J93)</f>
        <v/>
      </c>
      <c r="Q93" s="5">
        <f>IF(AND(M93&lt;&gt;"",M93&lt;TODAY(),ISNA(MATCH(H93,{"Won","Lost","Do not contact"},0))),"OVERDUE","")</f>
        <v/>
      </c>
    </row>
    <row r="94">
      <c r="A94" s="31" t="n"/>
      <c r="B94" s="32" t="n"/>
      <c r="C94" s="32" t="n"/>
      <c r="D94" s="32" t="n"/>
      <c r="E94" s="32" t="n"/>
      <c r="F94" s="32" t="n"/>
      <c r="G94" s="32" t="n"/>
      <c r="H94" s="32" t="n"/>
      <c r="I94" s="32" t="n"/>
      <c r="J94" s="31" t="n"/>
      <c r="K94" s="32" t="n"/>
      <c r="L94" s="32" t="n"/>
      <c r="M94" s="31" t="n"/>
      <c r="N94" s="32" t="n"/>
      <c r="O94" s="32" t="n"/>
      <c r="P94" s="33">
        <f>IF(J94="","",TODAY()-J94)</f>
        <v/>
      </c>
      <c r="Q94" s="5">
        <f>IF(AND(M94&lt;&gt;"",M94&lt;TODAY(),ISNA(MATCH(H94,{"Won","Lost","Do not contact"},0))),"OVERDUE","")</f>
        <v/>
      </c>
    </row>
    <row r="95">
      <c r="A95" s="31" t="n"/>
      <c r="B95" s="32" t="n"/>
      <c r="C95" s="32" t="n"/>
      <c r="D95" s="32" t="n"/>
      <c r="E95" s="32" t="n"/>
      <c r="F95" s="32" t="n"/>
      <c r="G95" s="32" t="n"/>
      <c r="H95" s="32" t="n"/>
      <c r="I95" s="32" t="n"/>
      <c r="J95" s="31" t="n"/>
      <c r="K95" s="32" t="n"/>
      <c r="L95" s="32" t="n"/>
      <c r="M95" s="31" t="n"/>
      <c r="N95" s="32" t="n"/>
      <c r="O95" s="32" t="n"/>
      <c r="P95" s="33">
        <f>IF(J95="","",TODAY()-J95)</f>
        <v/>
      </c>
      <c r="Q95" s="5">
        <f>IF(AND(M95&lt;&gt;"",M95&lt;TODAY(),ISNA(MATCH(H95,{"Won","Lost","Do not contact"},0))),"OVERDUE","")</f>
        <v/>
      </c>
    </row>
    <row r="96">
      <c r="A96" s="31" t="n"/>
      <c r="B96" s="32" t="n"/>
      <c r="C96" s="32" t="n"/>
      <c r="D96" s="32" t="n"/>
      <c r="E96" s="32" t="n"/>
      <c r="F96" s="32" t="n"/>
      <c r="G96" s="32" t="n"/>
      <c r="H96" s="32" t="n"/>
      <c r="I96" s="32" t="n"/>
      <c r="J96" s="31" t="n"/>
      <c r="K96" s="32" t="n"/>
      <c r="L96" s="32" t="n"/>
      <c r="M96" s="31" t="n"/>
      <c r="N96" s="32" t="n"/>
      <c r="O96" s="32" t="n"/>
      <c r="P96" s="33">
        <f>IF(J96="","",TODAY()-J96)</f>
        <v/>
      </c>
      <c r="Q96" s="5">
        <f>IF(AND(M96&lt;&gt;"",M96&lt;TODAY(),ISNA(MATCH(H96,{"Won","Lost","Do not contact"},0))),"OVERDUE","")</f>
        <v/>
      </c>
    </row>
    <row r="97">
      <c r="A97" s="31" t="n"/>
      <c r="B97" s="32" t="n"/>
      <c r="C97" s="32" t="n"/>
      <c r="D97" s="32" t="n"/>
      <c r="E97" s="32" t="n"/>
      <c r="F97" s="32" t="n"/>
      <c r="G97" s="32" t="n"/>
      <c r="H97" s="32" t="n"/>
      <c r="I97" s="32" t="n"/>
      <c r="J97" s="31" t="n"/>
      <c r="K97" s="32" t="n"/>
      <c r="L97" s="32" t="n"/>
      <c r="M97" s="31" t="n"/>
      <c r="N97" s="32" t="n"/>
      <c r="O97" s="32" t="n"/>
      <c r="P97" s="33">
        <f>IF(J97="","",TODAY()-J97)</f>
        <v/>
      </c>
      <c r="Q97" s="5">
        <f>IF(AND(M97&lt;&gt;"",M97&lt;TODAY(),ISNA(MATCH(H97,{"Won","Lost","Do not contact"},0))),"OVERDUE","")</f>
        <v/>
      </c>
    </row>
    <row r="98">
      <c r="A98" s="31" t="n"/>
      <c r="B98" s="32" t="n"/>
      <c r="C98" s="32" t="n"/>
      <c r="D98" s="32" t="n"/>
      <c r="E98" s="32" t="n"/>
      <c r="F98" s="32" t="n"/>
      <c r="G98" s="32" t="n"/>
      <c r="H98" s="32" t="n"/>
      <c r="I98" s="32" t="n"/>
      <c r="J98" s="31" t="n"/>
      <c r="K98" s="32" t="n"/>
      <c r="L98" s="32" t="n"/>
      <c r="M98" s="31" t="n"/>
      <c r="N98" s="32" t="n"/>
      <c r="O98" s="32" t="n"/>
      <c r="P98" s="33">
        <f>IF(J98="","",TODAY()-J98)</f>
        <v/>
      </c>
      <c r="Q98" s="5">
        <f>IF(AND(M98&lt;&gt;"",M98&lt;TODAY(),ISNA(MATCH(H98,{"Won","Lost","Do not contact"},0))),"OVERDUE","")</f>
        <v/>
      </c>
    </row>
    <row r="99">
      <c r="A99" s="31" t="n"/>
      <c r="B99" s="32" t="n"/>
      <c r="C99" s="32" t="n"/>
      <c r="D99" s="32" t="n"/>
      <c r="E99" s="32" t="n"/>
      <c r="F99" s="32" t="n"/>
      <c r="G99" s="32" t="n"/>
      <c r="H99" s="32" t="n"/>
      <c r="I99" s="32" t="n"/>
      <c r="J99" s="31" t="n"/>
      <c r="K99" s="32" t="n"/>
      <c r="L99" s="32" t="n"/>
      <c r="M99" s="31" t="n"/>
      <c r="N99" s="32" t="n"/>
      <c r="O99" s="32" t="n"/>
      <c r="P99" s="33">
        <f>IF(J99="","",TODAY()-J99)</f>
        <v/>
      </c>
      <c r="Q99" s="5">
        <f>IF(AND(M99&lt;&gt;"",M99&lt;TODAY(),ISNA(MATCH(H99,{"Won","Lost","Do not contact"},0))),"OVERDUE","")</f>
        <v/>
      </c>
    </row>
    <row r="100">
      <c r="A100" s="31" t="n"/>
      <c r="B100" s="32" t="n"/>
      <c r="C100" s="32" t="n"/>
      <c r="D100" s="32" t="n"/>
      <c r="E100" s="32" t="n"/>
      <c r="F100" s="32" t="n"/>
      <c r="G100" s="32" t="n"/>
      <c r="H100" s="32" t="n"/>
      <c r="I100" s="32" t="n"/>
      <c r="J100" s="31" t="n"/>
      <c r="K100" s="32" t="n"/>
      <c r="L100" s="32" t="n"/>
      <c r="M100" s="31" t="n"/>
      <c r="N100" s="32" t="n"/>
      <c r="O100" s="32" t="n"/>
      <c r="P100" s="33">
        <f>IF(J100="","",TODAY()-J100)</f>
        <v/>
      </c>
      <c r="Q100" s="5">
        <f>IF(AND(M100&lt;&gt;"",M100&lt;TODAY(),ISNA(MATCH(H100,{"Won","Lost","Do not contact"},0))),"OVERDUE","")</f>
        <v/>
      </c>
    </row>
    <row r="101">
      <c r="A101" s="31" t="n"/>
      <c r="B101" s="32" t="n"/>
      <c r="C101" s="32" t="n"/>
      <c r="D101" s="32" t="n"/>
      <c r="E101" s="32" t="n"/>
      <c r="F101" s="32" t="n"/>
      <c r="G101" s="32" t="n"/>
      <c r="H101" s="32" t="n"/>
      <c r="I101" s="32" t="n"/>
      <c r="J101" s="31" t="n"/>
      <c r="K101" s="32" t="n"/>
      <c r="L101" s="32" t="n"/>
      <c r="M101" s="31" t="n"/>
      <c r="N101" s="32" t="n"/>
      <c r="O101" s="32" t="n"/>
      <c r="P101" s="33">
        <f>IF(J101="","",TODAY()-J101)</f>
        <v/>
      </c>
      <c r="Q101" s="5">
        <f>IF(AND(M101&lt;&gt;"",M101&lt;TODAY(),ISNA(MATCH(H101,{"Won","Lost","Do not contact"},0))),"OVERDUE","")</f>
        <v/>
      </c>
    </row>
    <row r="102">
      <c r="A102" s="31" t="n"/>
      <c r="B102" s="32" t="n"/>
      <c r="C102" s="32" t="n"/>
      <c r="D102" s="32" t="n"/>
      <c r="E102" s="32" t="n"/>
      <c r="F102" s="32" t="n"/>
      <c r="G102" s="32" t="n"/>
      <c r="H102" s="32" t="n"/>
      <c r="I102" s="32" t="n"/>
      <c r="J102" s="31" t="n"/>
      <c r="K102" s="32" t="n"/>
      <c r="L102" s="32" t="n"/>
      <c r="M102" s="31" t="n"/>
      <c r="N102" s="32" t="n"/>
      <c r="O102" s="32" t="n"/>
      <c r="P102" s="33">
        <f>IF(J102="","",TODAY()-J102)</f>
        <v/>
      </c>
      <c r="Q102" s="5">
        <f>IF(AND(M102&lt;&gt;"",M102&lt;TODAY(),ISNA(MATCH(H102,{"Won","Lost","Do not contact"},0))),"OVERDUE","")</f>
        <v/>
      </c>
    </row>
    <row r="103">
      <c r="A103" s="31" t="n"/>
      <c r="B103" s="32" t="n"/>
      <c r="C103" s="32" t="n"/>
      <c r="D103" s="32" t="n"/>
      <c r="E103" s="32" t="n"/>
      <c r="F103" s="32" t="n"/>
      <c r="G103" s="32" t="n"/>
      <c r="H103" s="32" t="n"/>
      <c r="I103" s="32" t="n"/>
      <c r="J103" s="31" t="n"/>
      <c r="K103" s="32" t="n"/>
      <c r="L103" s="32" t="n"/>
      <c r="M103" s="31" t="n"/>
      <c r="N103" s="32" t="n"/>
      <c r="O103" s="32" t="n"/>
      <c r="P103" s="33">
        <f>IF(J103="","",TODAY()-J103)</f>
        <v/>
      </c>
      <c r="Q103" s="5">
        <f>IF(AND(M103&lt;&gt;"",M103&lt;TODAY(),ISNA(MATCH(H103,{"Won","Lost","Do not contact"},0))),"OVERDUE","")</f>
        <v/>
      </c>
    </row>
    <row r="104">
      <c r="A104" s="31" t="n"/>
      <c r="B104" s="32" t="n"/>
      <c r="C104" s="32" t="n"/>
      <c r="D104" s="32" t="n"/>
      <c r="E104" s="32" t="n"/>
      <c r="F104" s="32" t="n"/>
      <c r="G104" s="32" t="n"/>
      <c r="H104" s="32" t="n"/>
      <c r="I104" s="32" t="n"/>
      <c r="J104" s="31" t="n"/>
      <c r="K104" s="32" t="n"/>
      <c r="L104" s="32" t="n"/>
      <c r="M104" s="31" t="n"/>
      <c r="N104" s="32" t="n"/>
      <c r="O104" s="32" t="n"/>
      <c r="P104" s="33">
        <f>IF(J104="","",TODAY()-J104)</f>
        <v/>
      </c>
      <c r="Q104" s="5">
        <f>IF(AND(M104&lt;&gt;"",M104&lt;TODAY(),ISNA(MATCH(H104,{"Won","Lost","Do not contact"},0))),"OVERDUE","")</f>
        <v/>
      </c>
    </row>
    <row r="105">
      <c r="A105" s="31" t="n"/>
      <c r="B105" s="32" t="n"/>
      <c r="C105" s="32" t="n"/>
      <c r="D105" s="32" t="n"/>
      <c r="E105" s="32" t="n"/>
      <c r="F105" s="32" t="n"/>
      <c r="G105" s="32" t="n"/>
      <c r="H105" s="32" t="n"/>
      <c r="I105" s="32" t="n"/>
      <c r="J105" s="31" t="n"/>
      <c r="K105" s="32" t="n"/>
      <c r="L105" s="32" t="n"/>
      <c r="M105" s="31" t="n"/>
      <c r="N105" s="32" t="n"/>
      <c r="O105" s="32" t="n"/>
      <c r="P105" s="33">
        <f>IF(J105="","",TODAY()-J105)</f>
        <v/>
      </c>
      <c r="Q105" s="5">
        <f>IF(AND(M105&lt;&gt;"",M105&lt;TODAY(),ISNA(MATCH(H105,{"Won","Lost","Do not contact"},0))),"OVERDUE","")</f>
        <v/>
      </c>
    </row>
    <row r="106">
      <c r="A106" s="31" t="n"/>
      <c r="B106" s="32" t="n"/>
      <c r="C106" s="32" t="n"/>
      <c r="D106" s="32" t="n"/>
      <c r="E106" s="32" t="n"/>
      <c r="F106" s="32" t="n"/>
      <c r="G106" s="32" t="n"/>
      <c r="H106" s="32" t="n"/>
      <c r="I106" s="32" t="n"/>
      <c r="J106" s="31" t="n"/>
      <c r="K106" s="32" t="n"/>
      <c r="L106" s="32" t="n"/>
      <c r="M106" s="31" t="n"/>
      <c r="N106" s="32" t="n"/>
      <c r="O106" s="32" t="n"/>
      <c r="P106" s="33">
        <f>IF(J106="","",TODAY()-J106)</f>
        <v/>
      </c>
      <c r="Q106" s="5">
        <f>IF(AND(M106&lt;&gt;"",M106&lt;TODAY(),ISNA(MATCH(H106,{"Won","Lost","Do not contact"},0))),"OVERDUE","")</f>
        <v/>
      </c>
    </row>
    <row r="107">
      <c r="A107" s="31" t="n"/>
      <c r="B107" s="32" t="n"/>
      <c r="C107" s="32" t="n"/>
      <c r="D107" s="32" t="n"/>
      <c r="E107" s="32" t="n"/>
      <c r="F107" s="32" t="n"/>
      <c r="G107" s="32" t="n"/>
      <c r="H107" s="32" t="n"/>
      <c r="I107" s="32" t="n"/>
      <c r="J107" s="31" t="n"/>
      <c r="K107" s="32" t="n"/>
      <c r="L107" s="32" t="n"/>
      <c r="M107" s="31" t="n"/>
      <c r="N107" s="32" t="n"/>
      <c r="O107" s="32" t="n"/>
      <c r="P107" s="33">
        <f>IF(J107="","",TODAY()-J107)</f>
        <v/>
      </c>
      <c r="Q107" s="5">
        <f>IF(AND(M107&lt;&gt;"",M107&lt;TODAY(),ISNA(MATCH(H107,{"Won","Lost","Do not contact"},0))),"OVERDUE","")</f>
        <v/>
      </c>
    </row>
    <row r="108">
      <c r="A108" s="31" t="n"/>
      <c r="B108" s="32" t="n"/>
      <c r="C108" s="32" t="n"/>
      <c r="D108" s="32" t="n"/>
      <c r="E108" s="32" t="n"/>
      <c r="F108" s="32" t="n"/>
      <c r="G108" s="32" t="n"/>
      <c r="H108" s="32" t="n"/>
      <c r="I108" s="32" t="n"/>
      <c r="J108" s="31" t="n"/>
      <c r="K108" s="32" t="n"/>
      <c r="L108" s="32" t="n"/>
      <c r="M108" s="31" t="n"/>
      <c r="N108" s="32" t="n"/>
      <c r="O108" s="32" t="n"/>
      <c r="P108" s="33">
        <f>IF(J108="","",TODAY()-J108)</f>
        <v/>
      </c>
      <c r="Q108" s="5">
        <f>IF(AND(M108&lt;&gt;"",M108&lt;TODAY(),ISNA(MATCH(H108,{"Won","Lost","Do not contact"},0))),"OVERDUE","")</f>
        <v/>
      </c>
    </row>
    <row r="109">
      <c r="A109" s="31" t="n"/>
      <c r="B109" s="32" t="n"/>
      <c r="C109" s="32" t="n"/>
      <c r="D109" s="32" t="n"/>
      <c r="E109" s="32" t="n"/>
      <c r="F109" s="32" t="n"/>
      <c r="G109" s="32" t="n"/>
      <c r="H109" s="32" t="n"/>
      <c r="I109" s="32" t="n"/>
      <c r="J109" s="31" t="n"/>
      <c r="K109" s="32" t="n"/>
      <c r="L109" s="32" t="n"/>
      <c r="M109" s="31" t="n"/>
      <c r="N109" s="32" t="n"/>
      <c r="O109" s="32" t="n"/>
      <c r="P109" s="33">
        <f>IF(J109="","",TODAY()-J109)</f>
        <v/>
      </c>
      <c r="Q109" s="5">
        <f>IF(AND(M109&lt;&gt;"",M109&lt;TODAY(),ISNA(MATCH(H109,{"Won","Lost","Do not contact"},0))),"OVERDUE","")</f>
        <v/>
      </c>
    </row>
    <row r="110">
      <c r="A110" s="31" t="n"/>
      <c r="B110" s="32" t="n"/>
      <c r="C110" s="32" t="n"/>
      <c r="D110" s="32" t="n"/>
      <c r="E110" s="32" t="n"/>
      <c r="F110" s="32" t="n"/>
      <c r="G110" s="32" t="n"/>
      <c r="H110" s="32" t="n"/>
      <c r="I110" s="32" t="n"/>
      <c r="J110" s="31" t="n"/>
      <c r="K110" s="32" t="n"/>
      <c r="L110" s="32" t="n"/>
      <c r="M110" s="31" t="n"/>
      <c r="N110" s="32" t="n"/>
      <c r="O110" s="32" t="n"/>
      <c r="P110" s="33">
        <f>IF(J110="","",TODAY()-J110)</f>
        <v/>
      </c>
      <c r="Q110" s="5">
        <f>IF(AND(M110&lt;&gt;"",M110&lt;TODAY(),ISNA(MATCH(H110,{"Won","Lost","Do not contact"},0))),"OVERDUE","")</f>
        <v/>
      </c>
    </row>
    <row r="111">
      <c r="A111" s="31" t="n"/>
      <c r="B111" s="32" t="n"/>
      <c r="C111" s="32" t="n"/>
      <c r="D111" s="32" t="n"/>
      <c r="E111" s="32" t="n"/>
      <c r="F111" s="32" t="n"/>
      <c r="G111" s="32" t="n"/>
      <c r="H111" s="32" t="n"/>
      <c r="I111" s="32" t="n"/>
      <c r="J111" s="31" t="n"/>
      <c r="K111" s="32" t="n"/>
      <c r="L111" s="32" t="n"/>
      <c r="M111" s="31" t="n"/>
      <c r="N111" s="32" t="n"/>
      <c r="O111" s="32" t="n"/>
      <c r="P111" s="33">
        <f>IF(J111="","",TODAY()-J111)</f>
        <v/>
      </c>
      <c r="Q111" s="5">
        <f>IF(AND(M111&lt;&gt;"",M111&lt;TODAY(),ISNA(MATCH(H111,{"Won","Lost","Do not contact"},0))),"OVERDUE","")</f>
        <v/>
      </c>
    </row>
    <row r="112">
      <c r="A112" s="31" t="n"/>
      <c r="B112" s="32" t="n"/>
      <c r="C112" s="32" t="n"/>
      <c r="D112" s="32" t="n"/>
      <c r="E112" s="32" t="n"/>
      <c r="F112" s="32" t="n"/>
      <c r="G112" s="32" t="n"/>
      <c r="H112" s="32" t="n"/>
      <c r="I112" s="32" t="n"/>
      <c r="J112" s="31" t="n"/>
      <c r="K112" s="32" t="n"/>
      <c r="L112" s="32" t="n"/>
      <c r="M112" s="31" t="n"/>
      <c r="N112" s="32" t="n"/>
      <c r="O112" s="32" t="n"/>
      <c r="P112" s="33">
        <f>IF(J112="","",TODAY()-J112)</f>
        <v/>
      </c>
      <c r="Q112" s="5">
        <f>IF(AND(M112&lt;&gt;"",M112&lt;TODAY(),ISNA(MATCH(H112,{"Won","Lost","Do not contact"},0))),"OVERDUE","")</f>
        <v/>
      </c>
    </row>
    <row r="113">
      <c r="A113" s="31" t="n"/>
      <c r="B113" s="32" t="n"/>
      <c r="C113" s="32" t="n"/>
      <c r="D113" s="32" t="n"/>
      <c r="E113" s="32" t="n"/>
      <c r="F113" s="32" t="n"/>
      <c r="G113" s="32" t="n"/>
      <c r="H113" s="32" t="n"/>
      <c r="I113" s="32" t="n"/>
      <c r="J113" s="31" t="n"/>
      <c r="K113" s="32" t="n"/>
      <c r="L113" s="32" t="n"/>
      <c r="M113" s="31" t="n"/>
      <c r="N113" s="32" t="n"/>
      <c r="O113" s="32" t="n"/>
      <c r="P113" s="33">
        <f>IF(J113="","",TODAY()-J113)</f>
        <v/>
      </c>
      <c r="Q113" s="5">
        <f>IF(AND(M113&lt;&gt;"",M113&lt;TODAY(),ISNA(MATCH(H113,{"Won","Lost","Do not contact"},0))),"OVERDUE","")</f>
        <v/>
      </c>
    </row>
    <row r="114">
      <c r="A114" s="31" t="n"/>
      <c r="B114" s="32" t="n"/>
      <c r="C114" s="32" t="n"/>
      <c r="D114" s="32" t="n"/>
      <c r="E114" s="32" t="n"/>
      <c r="F114" s="32" t="n"/>
      <c r="G114" s="32" t="n"/>
      <c r="H114" s="32" t="n"/>
      <c r="I114" s="32" t="n"/>
      <c r="J114" s="31" t="n"/>
      <c r="K114" s="32" t="n"/>
      <c r="L114" s="32" t="n"/>
      <c r="M114" s="31" t="n"/>
      <c r="N114" s="32" t="n"/>
      <c r="O114" s="32" t="n"/>
      <c r="P114" s="33">
        <f>IF(J114="","",TODAY()-J114)</f>
        <v/>
      </c>
      <c r="Q114" s="5">
        <f>IF(AND(M114&lt;&gt;"",M114&lt;TODAY(),ISNA(MATCH(H114,{"Won","Lost","Do not contact"},0))),"OVERDUE","")</f>
        <v/>
      </c>
    </row>
    <row r="115">
      <c r="A115" s="31" t="n"/>
      <c r="B115" s="32" t="n"/>
      <c r="C115" s="32" t="n"/>
      <c r="D115" s="32" t="n"/>
      <c r="E115" s="32" t="n"/>
      <c r="F115" s="32" t="n"/>
      <c r="G115" s="32" t="n"/>
      <c r="H115" s="32" t="n"/>
      <c r="I115" s="32" t="n"/>
      <c r="J115" s="31" t="n"/>
      <c r="K115" s="32" t="n"/>
      <c r="L115" s="32" t="n"/>
      <c r="M115" s="31" t="n"/>
      <c r="N115" s="32" t="n"/>
      <c r="O115" s="32" t="n"/>
      <c r="P115" s="33">
        <f>IF(J115="","",TODAY()-J115)</f>
        <v/>
      </c>
      <c r="Q115" s="5">
        <f>IF(AND(M115&lt;&gt;"",M115&lt;TODAY(),ISNA(MATCH(H115,{"Won","Lost","Do not contact"},0))),"OVERDUE","")</f>
        <v/>
      </c>
    </row>
    <row r="116">
      <c r="A116" s="31" t="n"/>
      <c r="B116" s="32" t="n"/>
      <c r="C116" s="32" t="n"/>
      <c r="D116" s="32" t="n"/>
      <c r="E116" s="32" t="n"/>
      <c r="F116" s="32" t="n"/>
      <c r="G116" s="32" t="n"/>
      <c r="H116" s="32" t="n"/>
      <c r="I116" s="32" t="n"/>
      <c r="J116" s="31" t="n"/>
      <c r="K116" s="32" t="n"/>
      <c r="L116" s="32" t="n"/>
      <c r="M116" s="31" t="n"/>
      <c r="N116" s="32" t="n"/>
      <c r="O116" s="32" t="n"/>
      <c r="P116" s="33">
        <f>IF(J116="","",TODAY()-J116)</f>
        <v/>
      </c>
      <c r="Q116" s="5">
        <f>IF(AND(M116&lt;&gt;"",M116&lt;TODAY(),ISNA(MATCH(H116,{"Won","Lost","Do not contact"},0))),"OVERDUE","")</f>
        <v/>
      </c>
    </row>
    <row r="117">
      <c r="A117" s="31" t="n"/>
      <c r="B117" s="32" t="n"/>
      <c r="C117" s="32" t="n"/>
      <c r="D117" s="32" t="n"/>
      <c r="E117" s="32" t="n"/>
      <c r="F117" s="32" t="n"/>
      <c r="G117" s="32" t="n"/>
      <c r="H117" s="32" t="n"/>
      <c r="I117" s="32" t="n"/>
      <c r="J117" s="31" t="n"/>
      <c r="K117" s="32" t="n"/>
      <c r="L117" s="32" t="n"/>
      <c r="M117" s="31" t="n"/>
      <c r="N117" s="32" t="n"/>
      <c r="O117" s="32" t="n"/>
      <c r="P117" s="33">
        <f>IF(J117="","",TODAY()-J117)</f>
        <v/>
      </c>
      <c r="Q117" s="5">
        <f>IF(AND(M117&lt;&gt;"",M117&lt;TODAY(),ISNA(MATCH(H117,{"Won","Lost","Do not contact"},0))),"OVERDUE","")</f>
        <v/>
      </c>
    </row>
    <row r="118">
      <c r="A118" s="31" t="n"/>
      <c r="B118" s="32" t="n"/>
      <c r="C118" s="32" t="n"/>
      <c r="D118" s="32" t="n"/>
      <c r="E118" s="32" t="n"/>
      <c r="F118" s="32" t="n"/>
      <c r="G118" s="32" t="n"/>
      <c r="H118" s="32" t="n"/>
      <c r="I118" s="32" t="n"/>
      <c r="J118" s="31" t="n"/>
      <c r="K118" s="32" t="n"/>
      <c r="L118" s="32" t="n"/>
      <c r="M118" s="31" t="n"/>
      <c r="N118" s="32" t="n"/>
      <c r="O118" s="32" t="n"/>
      <c r="P118" s="33">
        <f>IF(J118="","",TODAY()-J118)</f>
        <v/>
      </c>
      <c r="Q118" s="5">
        <f>IF(AND(M118&lt;&gt;"",M118&lt;TODAY(),ISNA(MATCH(H118,{"Won","Lost","Do not contact"},0))),"OVERDUE","")</f>
        <v/>
      </c>
    </row>
    <row r="119">
      <c r="A119" s="31" t="n"/>
      <c r="B119" s="32" t="n"/>
      <c r="C119" s="32" t="n"/>
      <c r="D119" s="32" t="n"/>
      <c r="E119" s="32" t="n"/>
      <c r="F119" s="32" t="n"/>
      <c r="G119" s="32" t="n"/>
      <c r="H119" s="32" t="n"/>
      <c r="I119" s="32" t="n"/>
      <c r="J119" s="31" t="n"/>
      <c r="K119" s="32" t="n"/>
      <c r="L119" s="32" t="n"/>
      <c r="M119" s="31" t="n"/>
      <c r="N119" s="32" t="n"/>
      <c r="O119" s="32" t="n"/>
      <c r="P119" s="33">
        <f>IF(J119="","",TODAY()-J119)</f>
        <v/>
      </c>
      <c r="Q119" s="5">
        <f>IF(AND(M119&lt;&gt;"",M119&lt;TODAY(),ISNA(MATCH(H119,{"Won","Lost","Do not contact"},0))),"OVERDUE","")</f>
        <v/>
      </c>
    </row>
    <row r="120">
      <c r="A120" s="31" t="n"/>
      <c r="B120" s="32" t="n"/>
      <c r="C120" s="32" t="n"/>
      <c r="D120" s="32" t="n"/>
      <c r="E120" s="32" t="n"/>
      <c r="F120" s="32" t="n"/>
      <c r="G120" s="32" t="n"/>
      <c r="H120" s="32" t="n"/>
      <c r="I120" s="32" t="n"/>
      <c r="J120" s="31" t="n"/>
      <c r="K120" s="32" t="n"/>
      <c r="L120" s="32" t="n"/>
      <c r="M120" s="31" t="n"/>
      <c r="N120" s="32" t="n"/>
      <c r="O120" s="32" t="n"/>
      <c r="P120" s="33">
        <f>IF(J120="","",TODAY()-J120)</f>
        <v/>
      </c>
      <c r="Q120" s="5">
        <f>IF(AND(M120&lt;&gt;"",M120&lt;TODAY(),ISNA(MATCH(H120,{"Won","Lost","Do not contact"},0))),"OVERDUE","")</f>
        <v/>
      </c>
    </row>
    <row r="121">
      <c r="A121" s="31" t="n"/>
      <c r="B121" s="32" t="n"/>
      <c r="C121" s="32" t="n"/>
      <c r="D121" s="32" t="n"/>
      <c r="E121" s="32" t="n"/>
      <c r="F121" s="32" t="n"/>
      <c r="G121" s="32" t="n"/>
      <c r="H121" s="32" t="n"/>
      <c r="I121" s="32" t="n"/>
      <c r="J121" s="31" t="n"/>
      <c r="K121" s="32" t="n"/>
      <c r="L121" s="32" t="n"/>
      <c r="M121" s="31" t="n"/>
      <c r="N121" s="32" t="n"/>
      <c r="O121" s="32" t="n"/>
      <c r="P121" s="33">
        <f>IF(J121="","",TODAY()-J121)</f>
        <v/>
      </c>
      <c r="Q121" s="5">
        <f>IF(AND(M121&lt;&gt;"",M121&lt;TODAY(),ISNA(MATCH(H121,{"Won","Lost","Do not contact"},0))),"OVERDUE","")</f>
        <v/>
      </c>
    </row>
    <row r="122">
      <c r="A122" s="31" t="n"/>
      <c r="B122" s="32" t="n"/>
      <c r="C122" s="32" t="n"/>
      <c r="D122" s="32" t="n"/>
      <c r="E122" s="32" t="n"/>
      <c r="F122" s="32" t="n"/>
      <c r="G122" s="32" t="n"/>
      <c r="H122" s="32" t="n"/>
      <c r="I122" s="32" t="n"/>
      <c r="J122" s="31" t="n"/>
      <c r="K122" s="32" t="n"/>
      <c r="L122" s="32" t="n"/>
      <c r="M122" s="31" t="n"/>
      <c r="N122" s="32" t="n"/>
      <c r="O122" s="32" t="n"/>
      <c r="P122" s="33">
        <f>IF(J122="","",TODAY()-J122)</f>
        <v/>
      </c>
      <c r="Q122" s="5">
        <f>IF(AND(M122&lt;&gt;"",M122&lt;TODAY(),ISNA(MATCH(H122,{"Won","Lost","Do not contact"},0))),"OVERDUE","")</f>
        <v/>
      </c>
    </row>
    <row r="123">
      <c r="A123" s="31" t="n"/>
      <c r="B123" s="32" t="n"/>
      <c r="C123" s="32" t="n"/>
      <c r="D123" s="32" t="n"/>
      <c r="E123" s="32" t="n"/>
      <c r="F123" s="32" t="n"/>
      <c r="G123" s="32" t="n"/>
      <c r="H123" s="32" t="n"/>
      <c r="I123" s="32" t="n"/>
      <c r="J123" s="31" t="n"/>
      <c r="K123" s="32" t="n"/>
      <c r="L123" s="32" t="n"/>
      <c r="M123" s="31" t="n"/>
      <c r="N123" s="32" t="n"/>
      <c r="O123" s="32" t="n"/>
      <c r="P123" s="33">
        <f>IF(J123="","",TODAY()-J123)</f>
        <v/>
      </c>
      <c r="Q123" s="5">
        <f>IF(AND(M123&lt;&gt;"",M123&lt;TODAY(),ISNA(MATCH(H123,{"Won","Lost","Do not contact"},0))),"OVERDUE","")</f>
        <v/>
      </c>
    </row>
    <row r="124">
      <c r="A124" s="31" t="n"/>
      <c r="B124" s="32" t="n"/>
      <c r="C124" s="32" t="n"/>
      <c r="D124" s="32" t="n"/>
      <c r="E124" s="32" t="n"/>
      <c r="F124" s="32" t="n"/>
      <c r="G124" s="32" t="n"/>
      <c r="H124" s="32" t="n"/>
      <c r="I124" s="32" t="n"/>
      <c r="J124" s="31" t="n"/>
      <c r="K124" s="32" t="n"/>
      <c r="L124" s="32" t="n"/>
      <c r="M124" s="31" t="n"/>
      <c r="N124" s="32" t="n"/>
      <c r="O124" s="32" t="n"/>
      <c r="P124" s="33">
        <f>IF(J124="","",TODAY()-J124)</f>
        <v/>
      </c>
      <c r="Q124" s="5">
        <f>IF(AND(M124&lt;&gt;"",M124&lt;TODAY(),ISNA(MATCH(H124,{"Won","Lost","Do not contact"},0))),"OVERDUE","")</f>
        <v/>
      </c>
    </row>
    <row r="125">
      <c r="A125" s="31" t="n"/>
      <c r="B125" s="32" t="n"/>
      <c r="C125" s="32" t="n"/>
      <c r="D125" s="32" t="n"/>
      <c r="E125" s="32" t="n"/>
      <c r="F125" s="32" t="n"/>
      <c r="G125" s="32" t="n"/>
      <c r="H125" s="32" t="n"/>
      <c r="I125" s="32" t="n"/>
      <c r="J125" s="31" t="n"/>
      <c r="K125" s="32" t="n"/>
      <c r="L125" s="32" t="n"/>
      <c r="M125" s="31" t="n"/>
      <c r="N125" s="32" t="n"/>
      <c r="O125" s="32" t="n"/>
      <c r="P125" s="33">
        <f>IF(J125="","",TODAY()-J125)</f>
        <v/>
      </c>
      <c r="Q125" s="5">
        <f>IF(AND(M125&lt;&gt;"",M125&lt;TODAY(),ISNA(MATCH(H125,{"Won","Lost","Do not contact"},0))),"OVERDUE","")</f>
        <v/>
      </c>
    </row>
    <row r="126">
      <c r="A126" s="31" t="n"/>
      <c r="B126" s="32" t="n"/>
      <c r="C126" s="32" t="n"/>
      <c r="D126" s="32" t="n"/>
      <c r="E126" s="32" t="n"/>
      <c r="F126" s="32" t="n"/>
      <c r="G126" s="32" t="n"/>
      <c r="H126" s="32" t="n"/>
      <c r="I126" s="32" t="n"/>
      <c r="J126" s="31" t="n"/>
      <c r="K126" s="32" t="n"/>
      <c r="L126" s="32" t="n"/>
      <c r="M126" s="31" t="n"/>
      <c r="N126" s="32" t="n"/>
      <c r="O126" s="32" t="n"/>
      <c r="P126" s="33">
        <f>IF(J126="","",TODAY()-J126)</f>
        <v/>
      </c>
      <c r="Q126" s="5">
        <f>IF(AND(M126&lt;&gt;"",M126&lt;TODAY(),ISNA(MATCH(H126,{"Won","Lost","Do not contact"},0))),"OVERDUE","")</f>
        <v/>
      </c>
    </row>
    <row r="127">
      <c r="A127" s="31" t="n"/>
      <c r="B127" s="32" t="n"/>
      <c r="C127" s="32" t="n"/>
      <c r="D127" s="32" t="n"/>
      <c r="E127" s="32" t="n"/>
      <c r="F127" s="32" t="n"/>
      <c r="G127" s="32" t="n"/>
      <c r="H127" s="32" t="n"/>
      <c r="I127" s="32" t="n"/>
      <c r="J127" s="31" t="n"/>
      <c r="K127" s="32" t="n"/>
      <c r="L127" s="32" t="n"/>
      <c r="M127" s="31" t="n"/>
      <c r="N127" s="32" t="n"/>
      <c r="O127" s="32" t="n"/>
      <c r="P127" s="33">
        <f>IF(J127="","",TODAY()-J127)</f>
        <v/>
      </c>
      <c r="Q127" s="5">
        <f>IF(AND(M127&lt;&gt;"",M127&lt;TODAY(),ISNA(MATCH(H127,{"Won","Lost","Do not contact"},0))),"OVERDUE","")</f>
        <v/>
      </c>
    </row>
    <row r="128">
      <c r="A128" s="31" t="n"/>
      <c r="B128" s="32" t="n"/>
      <c r="C128" s="32" t="n"/>
      <c r="D128" s="32" t="n"/>
      <c r="E128" s="32" t="n"/>
      <c r="F128" s="32" t="n"/>
      <c r="G128" s="32" t="n"/>
      <c r="H128" s="32" t="n"/>
      <c r="I128" s="32" t="n"/>
      <c r="J128" s="31" t="n"/>
      <c r="K128" s="32" t="n"/>
      <c r="L128" s="32" t="n"/>
      <c r="M128" s="31" t="n"/>
      <c r="N128" s="32" t="n"/>
      <c r="O128" s="32" t="n"/>
      <c r="P128" s="33">
        <f>IF(J128="","",TODAY()-J128)</f>
        <v/>
      </c>
      <c r="Q128" s="5">
        <f>IF(AND(M128&lt;&gt;"",M128&lt;TODAY(),ISNA(MATCH(H128,{"Won","Lost","Do not contact"},0))),"OVERDUE","")</f>
        <v/>
      </c>
    </row>
    <row r="129">
      <c r="A129" s="31" t="n"/>
      <c r="B129" s="32" t="n"/>
      <c r="C129" s="32" t="n"/>
      <c r="D129" s="32" t="n"/>
      <c r="E129" s="32" t="n"/>
      <c r="F129" s="32" t="n"/>
      <c r="G129" s="32" t="n"/>
      <c r="H129" s="32" t="n"/>
      <c r="I129" s="32" t="n"/>
      <c r="J129" s="31" t="n"/>
      <c r="K129" s="32" t="n"/>
      <c r="L129" s="32" t="n"/>
      <c r="M129" s="31" t="n"/>
      <c r="N129" s="32" t="n"/>
      <c r="O129" s="32" t="n"/>
      <c r="P129" s="33">
        <f>IF(J129="","",TODAY()-J129)</f>
        <v/>
      </c>
      <c r="Q129" s="5">
        <f>IF(AND(M129&lt;&gt;"",M129&lt;TODAY(),ISNA(MATCH(H129,{"Won","Lost","Do not contact"},0))),"OVERDUE","")</f>
        <v/>
      </c>
    </row>
    <row r="130">
      <c r="A130" s="31" t="n"/>
      <c r="B130" s="32" t="n"/>
      <c r="C130" s="32" t="n"/>
      <c r="D130" s="32" t="n"/>
      <c r="E130" s="32" t="n"/>
      <c r="F130" s="32" t="n"/>
      <c r="G130" s="32" t="n"/>
      <c r="H130" s="32" t="n"/>
      <c r="I130" s="32" t="n"/>
      <c r="J130" s="31" t="n"/>
      <c r="K130" s="32" t="n"/>
      <c r="L130" s="32" t="n"/>
      <c r="M130" s="31" t="n"/>
      <c r="N130" s="32" t="n"/>
      <c r="O130" s="32" t="n"/>
      <c r="P130" s="33">
        <f>IF(J130="","",TODAY()-J130)</f>
        <v/>
      </c>
      <c r="Q130" s="5">
        <f>IF(AND(M130&lt;&gt;"",M130&lt;TODAY(),ISNA(MATCH(H130,{"Won","Lost","Do not contact"},0))),"OVERDUE","")</f>
        <v/>
      </c>
    </row>
    <row r="131">
      <c r="A131" s="31" t="n"/>
      <c r="B131" s="32" t="n"/>
      <c r="C131" s="32" t="n"/>
      <c r="D131" s="32" t="n"/>
      <c r="E131" s="32" t="n"/>
      <c r="F131" s="32" t="n"/>
      <c r="G131" s="32" t="n"/>
      <c r="H131" s="32" t="n"/>
      <c r="I131" s="32" t="n"/>
      <c r="J131" s="31" t="n"/>
      <c r="K131" s="32" t="n"/>
      <c r="L131" s="32" t="n"/>
      <c r="M131" s="31" t="n"/>
      <c r="N131" s="32" t="n"/>
      <c r="O131" s="32" t="n"/>
      <c r="P131" s="33">
        <f>IF(J131="","",TODAY()-J131)</f>
        <v/>
      </c>
      <c r="Q131" s="5">
        <f>IF(AND(M131&lt;&gt;"",M131&lt;TODAY(),ISNA(MATCH(H131,{"Won","Lost","Do not contact"},0))),"OVERDUE","")</f>
        <v/>
      </c>
    </row>
    <row r="132">
      <c r="A132" s="31" t="n"/>
      <c r="B132" s="32" t="n"/>
      <c r="C132" s="32" t="n"/>
      <c r="D132" s="32" t="n"/>
      <c r="E132" s="32" t="n"/>
      <c r="F132" s="32" t="n"/>
      <c r="G132" s="32" t="n"/>
      <c r="H132" s="32" t="n"/>
      <c r="I132" s="32" t="n"/>
      <c r="J132" s="31" t="n"/>
      <c r="K132" s="32" t="n"/>
      <c r="L132" s="32" t="n"/>
      <c r="M132" s="31" t="n"/>
      <c r="N132" s="32" t="n"/>
      <c r="O132" s="32" t="n"/>
      <c r="P132" s="33">
        <f>IF(J132="","",TODAY()-J132)</f>
        <v/>
      </c>
      <c r="Q132" s="5">
        <f>IF(AND(M132&lt;&gt;"",M132&lt;TODAY(),ISNA(MATCH(H132,{"Won","Lost","Do not contact"},0))),"OVERDUE","")</f>
        <v/>
      </c>
    </row>
    <row r="133">
      <c r="A133" s="31" t="n"/>
      <c r="B133" s="32" t="n"/>
      <c r="C133" s="32" t="n"/>
      <c r="D133" s="32" t="n"/>
      <c r="E133" s="32" t="n"/>
      <c r="F133" s="32" t="n"/>
      <c r="G133" s="32" t="n"/>
      <c r="H133" s="32" t="n"/>
      <c r="I133" s="32" t="n"/>
      <c r="J133" s="31" t="n"/>
      <c r="K133" s="32" t="n"/>
      <c r="L133" s="32" t="n"/>
      <c r="M133" s="31" t="n"/>
      <c r="N133" s="32" t="n"/>
      <c r="O133" s="32" t="n"/>
      <c r="P133" s="33">
        <f>IF(J133="","",TODAY()-J133)</f>
        <v/>
      </c>
      <c r="Q133" s="5">
        <f>IF(AND(M133&lt;&gt;"",M133&lt;TODAY(),ISNA(MATCH(H133,{"Won","Lost","Do not contact"},0))),"OVERDUE","")</f>
        <v/>
      </c>
    </row>
    <row r="134">
      <c r="A134" s="31" t="n"/>
      <c r="B134" s="32" t="n"/>
      <c r="C134" s="32" t="n"/>
      <c r="D134" s="32" t="n"/>
      <c r="E134" s="32" t="n"/>
      <c r="F134" s="32" t="n"/>
      <c r="G134" s="32" t="n"/>
      <c r="H134" s="32" t="n"/>
      <c r="I134" s="32" t="n"/>
      <c r="J134" s="31" t="n"/>
      <c r="K134" s="32" t="n"/>
      <c r="L134" s="32" t="n"/>
      <c r="M134" s="31" t="n"/>
      <c r="N134" s="32" t="n"/>
      <c r="O134" s="32" t="n"/>
      <c r="P134" s="33">
        <f>IF(J134="","",TODAY()-J134)</f>
        <v/>
      </c>
      <c r="Q134" s="5">
        <f>IF(AND(M134&lt;&gt;"",M134&lt;TODAY(),ISNA(MATCH(H134,{"Won","Lost","Do not contact"},0))),"OVERDUE","")</f>
        <v/>
      </c>
    </row>
    <row r="135">
      <c r="A135" s="31" t="n"/>
      <c r="B135" s="32" t="n"/>
      <c r="C135" s="32" t="n"/>
      <c r="D135" s="32" t="n"/>
      <c r="E135" s="32" t="n"/>
      <c r="F135" s="32" t="n"/>
      <c r="G135" s="32" t="n"/>
      <c r="H135" s="32" t="n"/>
      <c r="I135" s="32" t="n"/>
      <c r="J135" s="31" t="n"/>
      <c r="K135" s="32" t="n"/>
      <c r="L135" s="32" t="n"/>
      <c r="M135" s="31" t="n"/>
      <c r="N135" s="32" t="n"/>
      <c r="O135" s="32" t="n"/>
      <c r="P135" s="33">
        <f>IF(J135="","",TODAY()-J135)</f>
        <v/>
      </c>
      <c r="Q135" s="5">
        <f>IF(AND(M135&lt;&gt;"",M135&lt;TODAY(),ISNA(MATCH(H135,{"Won","Lost","Do not contact"},0))),"OVERDUE","")</f>
        <v/>
      </c>
    </row>
    <row r="136">
      <c r="A136" s="31" t="n"/>
      <c r="B136" s="32" t="n"/>
      <c r="C136" s="32" t="n"/>
      <c r="D136" s="32" t="n"/>
      <c r="E136" s="32" t="n"/>
      <c r="F136" s="32" t="n"/>
      <c r="G136" s="32" t="n"/>
      <c r="H136" s="32" t="n"/>
      <c r="I136" s="32" t="n"/>
      <c r="J136" s="31" t="n"/>
      <c r="K136" s="32" t="n"/>
      <c r="L136" s="32" t="n"/>
      <c r="M136" s="31" t="n"/>
      <c r="N136" s="32" t="n"/>
      <c r="O136" s="32" t="n"/>
      <c r="P136" s="33">
        <f>IF(J136="","",TODAY()-J136)</f>
        <v/>
      </c>
      <c r="Q136" s="5">
        <f>IF(AND(M136&lt;&gt;"",M136&lt;TODAY(),ISNA(MATCH(H136,{"Won","Lost","Do not contact"},0))),"OVERDUE","")</f>
        <v/>
      </c>
    </row>
    <row r="137">
      <c r="A137" s="31" t="n"/>
      <c r="B137" s="32" t="n"/>
      <c r="C137" s="32" t="n"/>
      <c r="D137" s="32" t="n"/>
      <c r="E137" s="32" t="n"/>
      <c r="F137" s="32" t="n"/>
      <c r="G137" s="32" t="n"/>
      <c r="H137" s="32" t="n"/>
      <c r="I137" s="32" t="n"/>
      <c r="J137" s="31" t="n"/>
      <c r="K137" s="32" t="n"/>
      <c r="L137" s="32" t="n"/>
      <c r="M137" s="31" t="n"/>
      <c r="N137" s="32" t="n"/>
      <c r="O137" s="32" t="n"/>
      <c r="P137" s="33">
        <f>IF(J137="","",TODAY()-J137)</f>
        <v/>
      </c>
      <c r="Q137" s="5">
        <f>IF(AND(M137&lt;&gt;"",M137&lt;TODAY(),ISNA(MATCH(H137,{"Won","Lost","Do not contact"},0))),"OVERDUE","")</f>
        <v/>
      </c>
    </row>
    <row r="138">
      <c r="A138" s="31" t="n"/>
      <c r="B138" s="32" t="n"/>
      <c r="C138" s="32" t="n"/>
      <c r="D138" s="32" t="n"/>
      <c r="E138" s="32" t="n"/>
      <c r="F138" s="32" t="n"/>
      <c r="G138" s="32" t="n"/>
      <c r="H138" s="32" t="n"/>
      <c r="I138" s="32" t="n"/>
      <c r="J138" s="31" t="n"/>
      <c r="K138" s="32" t="n"/>
      <c r="L138" s="32" t="n"/>
      <c r="M138" s="31" t="n"/>
      <c r="N138" s="32" t="n"/>
      <c r="O138" s="32" t="n"/>
      <c r="P138" s="33">
        <f>IF(J138="","",TODAY()-J138)</f>
        <v/>
      </c>
      <c r="Q138" s="5">
        <f>IF(AND(M138&lt;&gt;"",M138&lt;TODAY(),ISNA(MATCH(H138,{"Won","Lost","Do not contact"},0))),"OVERDUE","")</f>
        <v/>
      </c>
    </row>
    <row r="139">
      <c r="A139" s="31" t="n"/>
      <c r="B139" s="32" t="n"/>
      <c r="C139" s="32" t="n"/>
      <c r="D139" s="32" t="n"/>
      <c r="E139" s="32" t="n"/>
      <c r="F139" s="32" t="n"/>
      <c r="G139" s="32" t="n"/>
      <c r="H139" s="32" t="n"/>
      <c r="I139" s="32" t="n"/>
      <c r="J139" s="31" t="n"/>
      <c r="K139" s="32" t="n"/>
      <c r="L139" s="32" t="n"/>
      <c r="M139" s="31" t="n"/>
      <c r="N139" s="32" t="n"/>
      <c r="O139" s="32" t="n"/>
      <c r="P139" s="33">
        <f>IF(J139="","",TODAY()-J139)</f>
        <v/>
      </c>
      <c r="Q139" s="5">
        <f>IF(AND(M139&lt;&gt;"",M139&lt;TODAY(),ISNA(MATCH(H139,{"Won","Lost","Do not contact"},0))),"OVERDUE","")</f>
        <v/>
      </c>
    </row>
    <row r="140">
      <c r="A140" s="31" t="n"/>
      <c r="B140" s="32" t="n"/>
      <c r="C140" s="32" t="n"/>
      <c r="D140" s="32" t="n"/>
      <c r="E140" s="32" t="n"/>
      <c r="F140" s="32" t="n"/>
      <c r="G140" s="32" t="n"/>
      <c r="H140" s="32" t="n"/>
      <c r="I140" s="32" t="n"/>
      <c r="J140" s="31" t="n"/>
      <c r="K140" s="32" t="n"/>
      <c r="L140" s="32" t="n"/>
      <c r="M140" s="31" t="n"/>
      <c r="N140" s="32" t="n"/>
      <c r="O140" s="32" t="n"/>
      <c r="P140" s="33">
        <f>IF(J140="","",TODAY()-J140)</f>
        <v/>
      </c>
      <c r="Q140" s="5">
        <f>IF(AND(M140&lt;&gt;"",M140&lt;TODAY(),ISNA(MATCH(H140,{"Won","Lost","Do not contact"},0))),"OVERDUE","")</f>
        <v/>
      </c>
    </row>
    <row r="141">
      <c r="A141" s="31" t="n"/>
      <c r="B141" s="32" t="n"/>
      <c r="C141" s="32" t="n"/>
      <c r="D141" s="32" t="n"/>
      <c r="E141" s="32" t="n"/>
      <c r="F141" s="32" t="n"/>
      <c r="G141" s="32" t="n"/>
      <c r="H141" s="32" t="n"/>
      <c r="I141" s="32" t="n"/>
      <c r="J141" s="31" t="n"/>
      <c r="K141" s="32" t="n"/>
      <c r="L141" s="32" t="n"/>
      <c r="M141" s="31" t="n"/>
      <c r="N141" s="32" t="n"/>
      <c r="O141" s="32" t="n"/>
      <c r="P141" s="33">
        <f>IF(J141="","",TODAY()-J141)</f>
        <v/>
      </c>
      <c r="Q141" s="5">
        <f>IF(AND(M141&lt;&gt;"",M141&lt;TODAY(),ISNA(MATCH(H141,{"Won","Lost","Do not contact"},0))),"OVERDUE","")</f>
        <v/>
      </c>
    </row>
    <row r="142">
      <c r="A142" s="31" t="n"/>
      <c r="B142" s="32" t="n"/>
      <c r="C142" s="32" t="n"/>
      <c r="D142" s="32" t="n"/>
      <c r="E142" s="32" t="n"/>
      <c r="F142" s="32" t="n"/>
      <c r="G142" s="32" t="n"/>
      <c r="H142" s="32" t="n"/>
      <c r="I142" s="32" t="n"/>
      <c r="J142" s="31" t="n"/>
      <c r="K142" s="32" t="n"/>
      <c r="L142" s="32" t="n"/>
      <c r="M142" s="31" t="n"/>
      <c r="N142" s="32" t="n"/>
      <c r="O142" s="32" t="n"/>
      <c r="P142" s="33">
        <f>IF(J142="","",TODAY()-J142)</f>
        <v/>
      </c>
      <c r="Q142" s="5">
        <f>IF(AND(M142&lt;&gt;"",M142&lt;TODAY(),ISNA(MATCH(H142,{"Won","Lost","Do not contact"},0))),"OVERDUE","")</f>
        <v/>
      </c>
    </row>
    <row r="143">
      <c r="A143" s="31" t="n"/>
      <c r="B143" s="32" t="n"/>
      <c r="C143" s="32" t="n"/>
      <c r="D143" s="32" t="n"/>
      <c r="E143" s="32" t="n"/>
      <c r="F143" s="32" t="n"/>
      <c r="G143" s="32" t="n"/>
      <c r="H143" s="32" t="n"/>
      <c r="I143" s="32" t="n"/>
      <c r="J143" s="31" t="n"/>
      <c r="K143" s="32" t="n"/>
      <c r="L143" s="32" t="n"/>
      <c r="M143" s="31" t="n"/>
      <c r="N143" s="32" t="n"/>
      <c r="O143" s="32" t="n"/>
      <c r="P143" s="33">
        <f>IF(J143="","",TODAY()-J143)</f>
        <v/>
      </c>
      <c r="Q143" s="5">
        <f>IF(AND(M143&lt;&gt;"",M143&lt;TODAY(),ISNA(MATCH(H143,{"Won","Lost","Do not contact"},0))),"OVERDUE","")</f>
        <v/>
      </c>
    </row>
    <row r="144">
      <c r="A144" s="31" t="n"/>
      <c r="B144" s="32" t="n"/>
      <c r="C144" s="32" t="n"/>
      <c r="D144" s="32" t="n"/>
      <c r="E144" s="32" t="n"/>
      <c r="F144" s="32" t="n"/>
      <c r="G144" s="32" t="n"/>
      <c r="H144" s="32" t="n"/>
      <c r="I144" s="32" t="n"/>
      <c r="J144" s="31" t="n"/>
      <c r="K144" s="32" t="n"/>
      <c r="L144" s="32" t="n"/>
      <c r="M144" s="31" t="n"/>
      <c r="N144" s="32" t="n"/>
      <c r="O144" s="32" t="n"/>
      <c r="P144" s="33">
        <f>IF(J144="","",TODAY()-J144)</f>
        <v/>
      </c>
      <c r="Q144" s="5">
        <f>IF(AND(M144&lt;&gt;"",M144&lt;TODAY(),ISNA(MATCH(H144,{"Won","Lost","Do not contact"},0))),"OVERDUE","")</f>
        <v/>
      </c>
    </row>
    <row r="145">
      <c r="A145" s="31" t="n"/>
      <c r="B145" s="32" t="n"/>
      <c r="C145" s="32" t="n"/>
      <c r="D145" s="32" t="n"/>
      <c r="E145" s="32" t="n"/>
      <c r="F145" s="32" t="n"/>
      <c r="G145" s="32" t="n"/>
      <c r="H145" s="32" t="n"/>
      <c r="I145" s="32" t="n"/>
      <c r="J145" s="31" t="n"/>
      <c r="K145" s="32" t="n"/>
      <c r="L145" s="32" t="n"/>
      <c r="M145" s="31" t="n"/>
      <c r="N145" s="32" t="n"/>
      <c r="O145" s="32" t="n"/>
      <c r="P145" s="33">
        <f>IF(J145="","",TODAY()-J145)</f>
        <v/>
      </c>
      <c r="Q145" s="5">
        <f>IF(AND(M145&lt;&gt;"",M145&lt;TODAY(),ISNA(MATCH(H145,{"Won","Lost","Do not contact"},0))),"OVERDUE","")</f>
        <v/>
      </c>
    </row>
    <row r="146">
      <c r="A146" s="31" t="n"/>
      <c r="B146" s="32" t="n"/>
      <c r="C146" s="32" t="n"/>
      <c r="D146" s="32" t="n"/>
      <c r="E146" s="32" t="n"/>
      <c r="F146" s="32" t="n"/>
      <c r="G146" s="32" t="n"/>
      <c r="H146" s="32" t="n"/>
      <c r="I146" s="32" t="n"/>
      <c r="J146" s="31" t="n"/>
      <c r="K146" s="32" t="n"/>
      <c r="L146" s="32" t="n"/>
      <c r="M146" s="31" t="n"/>
      <c r="N146" s="32" t="n"/>
      <c r="O146" s="32" t="n"/>
      <c r="P146" s="33">
        <f>IF(J146="","",TODAY()-J146)</f>
        <v/>
      </c>
      <c r="Q146" s="5">
        <f>IF(AND(M146&lt;&gt;"",M146&lt;TODAY(),ISNA(MATCH(H146,{"Won","Lost","Do not contact"},0))),"OVERDUE","")</f>
        <v/>
      </c>
    </row>
    <row r="147">
      <c r="A147" s="31" t="n"/>
      <c r="B147" s="32" t="n"/>
      <c r="C147" s="32" t="n"/>
      <c r="D147" s="32" t="n"/>
      <c r="E147" s="32" t="n"/>
      <c r="F147" s="32" t="n"/>
      <c r="G147" s="32" t="n"/>
      <c r="H147" s="32" t="n"/>
      <c r="I147" s="32" t="n"/>
      <c r="J147" s="31" t="n"/>
      <c r="K147" s="32" t="n"/>
      <c r="L147" s="32" t="n"/>
      <c r="M147" s="31" t="n"/>
      <c r="N147" s="32" t="n"/>
      <c r="O147" s="32" t="n"/>
      <c r="P147" s="33">
        <f>IF(J147="","",TODAY()-J147)</f>
        <v/>
      </c>
      <c r="Q147" s="5">
        <f>IF(AND(M147&lt;&gt;"",M147&lt;TODAY(),ISNA(MATCH(H147,{"Won","Lost","Do not contact"},0))),"OVERDUE","")</f>
        <v/>
      </c>
    </row>
    <row r="148">
      <c r="A148" s="31" t="n"/>
      <c r="B148" s="32" t="n"/>
      <c r="C148" s="32" t="n"/>
      <c r="D148" s="32" t="n"/>
      <c r="E148" s="32" t="n"/>
      <c r="F148" s="32" t="n"/>
      <c r="G148" s="32" t="n"/>
      <c r="H148" s="32" t="n"/>
      <c r="I148" s="32" t="n"/>
      <c r="J148" s="31" t="n"/>
      <c r="K148" s="32" t="n"/>
      <c r="L148" s="32" t="n"/>
      <c r="M148" s="31" t="n"/>
      <c r="N148" s="32" t="n"/>
      <c r="O148" s="32" t="n"/>
      <c r="P148" s="33">
        <f>IF(J148="","",TODAY()-J148)</f>
        <v/>
      </c>
      <c r="Q148" s="5">
        <f>IF(AND(M148&lt;&gt;"",M148&lt;TODAY(),ISNA(MATCH(H148,{"Won","Lost","Do not contact"},0))),"OVERDUE","")</f>
        <v/>
      </c>
    </row>
    <row r="149">
      <c r="A149" s="31" t="n"/>
      <c r="B149" s="32" t="n"/>
      <c r="C149" s="32" t="n"/>
      <c r="D149" s="32" t="n"/>
      <c r="E149" s="32" t="n"/>
      <c r="F149" s="32" t="n"/>
      <c r="G149" s="32" t="n"/>
      <c r="H149" s="32" t="n"/>
      <c r="I149" s="32" t="n"/>
      <c r="J149" s="31" t="n"/>
      <c r="K149" s="32" t="n"/>
      <c r="L149" s="32" t="n"/>
      <c r="M149" s="31" t="n"/>
      <c r="N149" s="32" t="n"/>
      <c r="O149" s="32" t="n"/>
      <c r="P149" s="33">
        <f>IF(J149="","",TODAY()-J149)</f>
        <v/>
      </c>
      <c r="Q149" s="5">
        <f>IF(AND(M149&lt;&gt;"",M149&lt;TODAY(),ISNA(MATCH(H149,{"Won","Lost","Do not contact"},0))),"OVERDUE","")</f>
        <v/>
      </c>
    </row>
    <row r="150">
      <c r="A150" s="31" t="n"/>
      <c r="B150" s="32" t="n"/>
      <c r="C150" s="32" t="n"/>
      <c r="D150" s="32" t="n"/>
      <c r="E150" s="32" t="n"/>
      <c r="F150" s="32" t="n"/>
      <c r="G150" s="32" t="n"/>
      <c r="H150" s="32" t="n"/>
      <c r="I150" s="32" t="n"/>
      <c r="J150" s="31" t="n"/>
      <c r="K150" s="32" t="n"/>
      <c r="L150" s="32" t="n"/>
      <c r="M150" s="31" t="n"/>
      <c r="N150" s="32" t="n"/>
      <c r="O150" s="32" t="n"/>
      <c r="P150" s="33">
        <f>IF(J150="","",TODAY()-J150)</f>
        <v/>
      </c>
      <c r="Q150" s="5">
        <f>IF(AND(M150&lt;&gt;"",M150&lt;TODAY(),ISNA(MATCH(H150,{"Won","Lost","Do not contact"},0))),"OVERDUE","")</f>
        <v/>
      </c>
    </row>
    <row r="151">
      <c r="A151" s="31" t="n"/>
      <c r="B151" s="32" t="n"/>
      <c r="C151" s="32" t="n"/>
      <c r="D151" s="32" t="n"/>
      <c r="E151" s="32" t="n"/>
      <c r="F151" s="32" t="n"/>
      <c r="G151" s="32" t="n"/>
      <c r="H151" s="32" t="n"/>
      <c r="I151" s="32" t="n"/>
      <c r="J151" s="31" t="n"/>
      <c r="K151" s="32" t="n"/>
      <c r="L151" s="32" t="n"/>
      <c r="M151" s="31" t="n"/>
      <c r="N151" s="32" t="n"/>
      <c r="O151" s="32" t="n"/>
      <c r="P151" s="33">
        <f>IF(J151="","",TODAY()-J151)</f>
        <v/>
      </c>
      <c r="Q151" s="5">
        <f>IF(AND(M151&lt;&gt;"",M151&lt;TODAY(),ISNA(MATCH(H151,{"Won","Lost","Do not contact"},0))),"OVERDUE","")</f>
        <v/>
      </c>
    </row>
    <row r="152">
      <c r="A152" s="31" t="n"/>
      <c r="B152" s="32" t="n"/>
      <c r="C152" s="32" t="n"/>
      <c r="D152" s="32" t="n"/>
      <c r="E152" s="32" t="n"/>
      <c r="F152" s="32" t="n"/>
      <c r="G152" s="32" t="n"/>
      <c r="H152" s="32" t="n"/>
      <c r="I152" s="32" t="n"/>
      <c r="J152" s="31" t="n"/>
      <c r="K152" s="32" t="n"/>
      <c r="L152" s="32" t="n"/>
      <c r="M152" s="31" t="n"/>
      <c r="N152" s="32" t="n"/>
      <c r="O152" s="32" t="n"/>
      <c r="P152" s="33">
        <f>IF(J152="","",TODAY()-J152)</f>
        <v/>
      </c>
      <c r="Q152" s="5">
        <f>IF(AND(M152&lt;&gt;"",M152&lt;TODAY(),ISNA(MATCH(H152,{"Won","Lost","Do not contact"},0))),"OVERDUE","")</f>
        <v/>
      </c>
    </row>
    <row r="153">
      <c r="A153" s="31" t="n"/>
      <c r="B153" s="32" t="n"/>
      <c r="C153" s="32" t="n"/>
      <c r="D153" s="32" t="n"/>
      <c r="E153" s="32" t="n"/>
      <c r="F153" s="32" t="n"/>
      <c r="G153" s="32" t="n"/>
      <c r="H153" s="32" t="n"/>
      <c r="I153" s="32" t="n"/>
      <c r="J153" s="31" t="n"/>
      <c r="K153" s="32" t="n"/>
      <c r="L153" s="32" t="n"/>
      <c r="M153" s="31" t="n"/>
      <c r="N153" s="32" t="n"/>
      <c r="O153" s="32" t="n"/>
      <c r="P153" s="33">
        <f>IF(J153="","",TODAY()-J153)</f>
        <v/>
      </c>
      <c r="Q153" s="5">
        <f>IF(AND(M153&lt;&gt;"",M153&lt;TODAY(),ISNA(MATCH(H153,{"Won","Lost","Do not contact"},0))),"OVERDUE","")</f>
        <v/>
      </c>
    </row>
    <row r="154">
      <c r="A154" s="31" t="n"/>
      <c r="B154" s="32" t="n"/>
      <c r="C154" s="32" t="n"/>
      <c r="D154" s="32" t="n"/>
      <c r="E154" s="32" t="n"/>
      <c r="F154" s="32" t="n"/>
      <c r="G154" s="32" t="n"/>
      <c r="H154" s="32" t="n"/>
      <c r="I154" s="32" t="n"/>
      <c r="J154" s="31" t="n"/>
      <c r="K154" s="32" t="n"/>
      <c r="L154" s="32" t="n"/>
      <c r="M154" s="31" t="n"/>
      <c r="N154" s="32" t="n"/>
      <c r="O154" s="32" t="n"/>
      <c r="P154" s="33">
        <f>IF(J154="","",TODAY()-J154)</f>
        <v/>
      </c>
      <c r="Q154" s="5">
        <f>IF(AND(M154&lt;&gt;"",M154&lt;TODAY(),ISNA(MATCH(H154,{"Won","Lost","Do not contact"},0))),"OVERDUE","")</f>
        <v/>
      </c>
    </row>
    <row r="155">
      <c r="A155" s="31" t="n"/>
      <c r="B155" s="32" t="n"/>
      <c r="C155" s="32" t="n"/>
      <c r="D155" s="32" t="n"/>
      <c r="E155" s="32" t="n"/>
      <c r="F155" s="32" t="n"/>
      <c r="G155" s="32" t="n"/>
      <c r="H155" s="32" t="n"/>
      <c r="I155" s="32" t="n"/>
      <c r="J155" s="31" t="n"/>
      <c r="K155" s="32" t="n"/>
      <c r="L155" s="32" t="n"/>
      <c r="M155" s="31" t="n"/>
      <c r="N155" s="32" t="n"/>
      <c r="O155" s="32" t="n"/>
      <c r="P155" s="33">
        <f>IF(J155="","",TODAY()-J155)</f>
        <v/>
      </c>
      <c r="Q155" s="5">
        <f>IF(AND(M155&lt;&gt;"",M155&lt;TODAY(),ISNA(MATCH(H155,{"Won","Lost","Do not contact"},0))),"OVERDUE","")</f>
        <v/>
      </c>
    </row>
    <row r="156">
      <c r="A156" s="31" t="n"/>
      <c r="B156" s="32" t="n"/>
      <c r="C156" s="32" t="n"/>
      <c r="D156" s="32" t="n"/>
      <c r="E156" s="32" t="n"/>
      <c r="F156" s="32" t="n"/>
      <c r="G156" s="32" t="n"/>
      <c r="H156" s="32" t="n"/>
      <c r="I156" s="32" t="n"/>
      <c r="J156" s="31" t="n"/>
      <c r="K156" s="32" t="n"/>
      <c r="L156" s="32" t="n"/>
      <c r="M156" s="31" t="n"/>
      <c r="N156" s="32" t="n"/>
      <c r="O156" s="32" t="n"/>
      <c r="P156" s="33">
        <f>IF(J156="","",TODAY()-J156)</f>
        <v/>
      </c>
      <c r="Q156" s="5">
        <f>IF(AND(M156&lt;&gt;"",M156&lt;TODAY(),ISNA(MATCH(H156,{"Won","Lost","Do not contact"},0))),"OVERDUE","")</f>
        <v/>
      </c>
    </row>
    <row r="157">
      <c r="A157" s="31" t="n"/>
      <c r="B157" s="32" t="n"/>
      <c r="C157" s="32" t="n"/>
      <c r="D157" s="32" t="n"/>
      <c r="E157" s="32" t="n"/>
      <c r="F157" s="32" t="n"/>
      <c r="G157" s="32" t="n"/>
      <c r="H157" s="32" t="n"/>
      <c r="I157" s="32" t="n"/>
      <c r="J157" s="31" t="n"/>
      <c r="K157" s="32" t="n"/>
      <c r="L157" s="32" t="n"/>
      <c r="M157" s="31" t="n"/>
      <c r="N157" s="32" t="n"/>
      <c r="O157" s="32" t="n"/>
      <c r="P157" s="33">
        <f>IF(J157="","",TODAY()-J157)</f>
        <v/>
      </c>
      <c r="Q157" s="5">
        <f>IF(AND(M157&lt;&gt;"",M157&lt;TODAY(),ISNA(MATCH(H157,{"Won","Lost","Do not contact"},0))),"OVERDUE","")</f>
        <v/>
      </c>
    </row>
    <row r="158">
      <c r="A158" s="31" t="n"/>
      <c r="B158" s="32" t="n"/>
      <c r="C158" s="32" t="n"/>
      <c r="D158" s="32" t="n"/>
      <c r="E158" s="32" t="n"/>
      <c r="F158" s="32" t="n"/>
      <c r="G158" s="32" t="n"/>
      <c r="H158" s="32" t="n"/>
      <c r="I158" s="32" t="n"/>
      <c r="J158" s="31" t="n"/>
      <c r="K158" s="32" t="n"/>
      <c r="L158" s="32" t="n"/>
      <c r="M158" s="31" t="n"/>
      <c r="N158" s="32" t="n"/>
      <c r="O158" s="32" t="n"/>
      <c r="P158" s="33">
        <f>IF(J158="","",TODAY()-J158)</f>
        <v/>
      </c>
      <c r="Q158" s="5">
        <f>IF(AND(M158&lt;&gt;"",M158&lt;TODAY(),ISNA(MATCH(H158,{"Won","Lost","Do not contact"},0))),"OVERDUE","")</f>
        <v/>
      </c>
    </row>
    <row r="159">
      <c r="A159" s="31" t="n"/>
      <c r="B159" s="32" t="n"/>
      <c r="C159" s="32" t="n"/>
      <c r="D159" s="32" t="n"/>
      <c r="E159" s="32" t="n"/>
      <c r="F159" s="32" t="n"/>
      <c r="G159" s="32" t="n"/>
      <c r="H159" s="32" t="n"/>
      <c r="I159" s="32" t="n"/>
      <c r="J159" s="31" t="n"/>
      <c r="K159" s="32" t="n"/>
      <c r="L159" s="32" t="n"/>
      <c r="M159" s="31" t="n"/>
      <c r="N159" s="32" t="n"/>
      <c r="O159" s="32" t="n"/>
      <c r="P159" s="33">
        <f>IF(J159="","",TODAY()-J159)</f>
        <v/>
      </c>
      <c r="Q159" s="5">
        <f>IF(AND(M159&lt;&gt;"",M159&lt;TODAY(),ISNA(MATCH(H159,{"Won","Lost","Do not contact"},0))),"OVERDUE","")</f>
        <v/>
      </c>
    </row>
    <row r="160">
      <c r="A160" s="31" t="n"/>
      <c r="B160" s="32" t="n"/>
      <c r="C160" s="32" t="n"/>
      <c r="D160" s="32" t="n"/>
      <c r="E160" s="32" t="n"/>
      <c r="F160" s="32" t="n"/>
      <c r="G160" s="32" t="n"/>
      <c r="H160" s="32" t="n"/>
      <c r="I160" s="32" t="n"/>
      <c r="J160" s="31" t="n"/>
      <c r="K160" s="32" t="n"/>
      <c r="L160" s="32" t="n"/>
      <c r="M160" s="31" t="n"/>
      <c r="N160" s="32" t="n"/>
      <c r="O160" s="32" t="n"/>
      <c r="P160" s="33">
        <f>IF(J160="","",TODAY()-J160)</f>
        <v/>
      </c>
      <c r="Q160" s="5">
        <f>IF(AND(M160&lt;&gt;"",M160&lt;TODAY(),ISNA(MATCH(H160,{"Won","Lost","Do not contact"},0))),"OVERDUE","")</f>
        <v/>
      </c>
    </row>
    <row r="161">
      <c r="A161" s="31" t="n"/>
      <c r="B161" s="32" t="n"/>
      <c r="C161" s="32" t="n"/>
      <c r="D161" s="32" t="n"/>
      <c r="E161" s="32" t="n"/>
      <c r="F161" s="32" t="n"/>
      <c r="G161" s="32" t="n"/>
      <c r="H161" s="32" t="n"/>
      <c r="I161" s="32" t="n"/>
      <c r="J161" s="31" t="n"/>
      <c r="K161" s="32" t="n"/>
      <c r="L161" s="32" t="n"/>
      <c r="M161" s="31" t="n"/>
      <c r="N161" s="32" t="n"/>
      <c r="O161" s="32" t="n"/>
      <c r="P161" s="33">
        <f>IF(J161="","",TODAY()-J161)</f>
        <v/>
      </c>
      <c r="Q161" s="5">
        <f>IF(AND(M161&lt;&gt;"",M161&lt;TODAY(),ISNA(MATCH(H161,{"Won","Lost","Do not contact"},0))),"OVERDUE","")</f>
        <v/>
      </c>
    </row>
    <row r="162">
      <c r="A162" s="31" t="n"/>
      <c r="B162" s="32" t="n"/>
      <c r="C162" s="32" t="n"/>
      <c r="D162" s="32" t="n"/>
      <c r="E162" s="32" t="n"/>
      <c r="F162" s="32" t="n"/>
      <c r="G162" s="32" t="n"/>
      <c r="H162" s="32" t="n"/>
      <c r="I162" s="32" t="n"/>
      <c r="J162" s="31" t="n"/>
      <c r="K162" s="32" t="n"/>
      <c r="L162" s="32" t="n"/>
      <c r="M162" s="31" t="n"/>
      <c r="N162" s="32" t="n"/>
      <c r="O162" s="32" t="n"/>
      <c r="P162" s="33">
        <f>IF(J162="","",TODAY()-J162)</f>
        <v/>
      </c>
      <c r="Q162" s="5">
        <f>IF(AND(M162&lt;&gt;"",M162&lt;TODAY(),ISNA(MATCH(H162,{"Won","Lost","Do not contact"},0))),"OVERDUE","")</f>
        <v/>
      </c>
    </row>
    <row r="163">
      <c r="A163" s="31" t="n"/>
      <c r="B163" s="32" t="n"/>
      <c r="C163" s="32" t="n"/>
      <c r="D163" s="32" t="n"/>
      <c r="E163" s="32" t="n"/>
      <c r="F163" s="32" t="n"/>
      <c r="G163" s="32" t="n"/>
      <c r="H163" s="32" t="n"/>
      <c r="I163" s="32" t="n"/>
      <c r="J163" s="31" t="n"/>
      <c r="K163" s="32" t="n"/>
      <c r="L163" s="32" t="n"/>
      <c r="M163" s="31" t="n"/>
      <c r="N163" s="32" t="n"/>
      <c r="O163" s="32" t="n"/>
      <c r="P163" s="33">
        <f>IF(J163="","",TODAY()-J163)</f>
        <v/>
      </c>
      <c r="Q163" s="5">
        <f>IF(AND(M163&lt;&gt;"",M163&lt;TODAY(),ISNA(MATCH(H163,{"Won","Lost","Do not contact"},0))),"OVERDUE","")</f>
        <v/>
      </c>
    </row>
    <row r="164">
      <c r="A164" s="31" t="n"/>
      <c r="B164" s="32" t="n"/>
      <c r="C164" s="32" t="n"/>
      <c r="D164" s="32" t="n"/>
      <c r="E164" s="32" t="n"/>
      <c r="F164" s="32" t="n"/>
      <c r="G164" s="32" t="n"/>
      <c r="H164" s="32" t="n"/>
      <c r="I164" s="32" t="n"/>
      <c r="J164" s="31" t="n"/>
      <c r="K164" s="32" t="n"/>
      <c r="L164" s="32" t="n"/>
      <c r="M164" s="31" t="n"/>
      <c r="N164" s="32" t="n"/>
      <c r="O164" s="32" t="n"/>
      <c r="P164" s="33">
        <f>IF(J164="","",TODAY()-J164)</f>
        <v/>
      </c>
      <c r="Q164" s="5">
        <f>IF(AND(M164&lt;&gt;"",M164&lt;TODAY(),ISNA(MATCH(H164,{"Won","Lost","Do not contact"},0))),"OVERDUE","")</f>
        <v/>
      </c>
    </row>
    <row r="165">
      <c r="A165" s="31" t="n"/>
      <c r="B165" s="32" t="n"/>
      <c r="C165" s="32" t="n"/>
      <c r="D165" s="32" t="n"/>
      <c r="E165" s="32" t="n"/>
      <c r="F165" s="32" t="n"/>
      <c r="G165" s="32" t="n"/>
      <c r="H165" s="32" t="n"/>
      <c r="I165" s="32" t="n"/>
      <c r="J165" s="31" t="n"/>
      <c r="K165" s="32" t="n"/>
      <c r="L165" s="32" t="n"/>
      <c r="M165" s="31" t="n"/>
      <c r="N165" s="32" t="n"/>
      <c r="O165" s="32" t="n"/>
      <c r="P165" s="33">
        <f>IF(J165="","",TODAY()-J165)</f>
        <v/>
      </c>
      <c r="Q165" s="5">
        <f>IF(AND(M165&lt;&gt;"",M165&lt;TODAY(),ISNA(MATCH(H165,{"Won","Lost","Do not contact"},0))),"OVERDUE","")</f>
        <v/>
      </c>
    </row>
    <row r="166">
      <c r="A166" s="31" t="n"/>
      <c r="B166" s="32" t="n"/>
      <c r="C166" s="32" t="n"/>
      <c r="D166" s="32" t="n"/>
      <c r="E166" s="32" t="n"/>
      <c r="F166" s="32" t="n"/>
      <c r="G166" s="32" t="n"/>
      <c r="H166" s="32" t="n"/>
      <c r="I166" s="32" t="n"/>
      <c r="J166" s="31" t="n"/>
      <c r="K166" s="32" t="n"/>
      <c r="L166" s="32" t="n"/>
      <c r="M166" s="31" t="n"/>
      <c r="N166" s="32" t="n"/>
      <c r="O166" s="32" t="n"/>
      <c r="P166" s="33">
        <f>IF(J166="","",TODAY()-J166)</f>
        <v/>
      </c>
      <c r="Q166" s="5">
        <f>IF(AND(M166&lt;&gt;"",M166&lt;TODAY(),ISNA(MATCH(H166,{"Won","Lost","Do not contact"},0))),"OVERDUE","")</f>
        <v/>
      </c>
    </row>
    <row r="167">
      <c r="A167" s="31" t="n"/>
      <c r="B167" s="32" t="n"/>
      <c r="C167" s="32" t="n"/>
      <c r="D167" s="32" t="n"/>
      <c r="E167" s="32" t="n"/>
      <c r="F167" s="32" t="n"/>
      <c r="G167" s="32" t="n"/>
      <c r="H167" s="32" t="n"/>
      <c r="I167" s="32" t="n"/>
      <c r="J167" s="31" t="n"/>
      <c r="K167" s="32" t="n"/>
      <c r="L167" s="32" t="n"/>
      <c r="M167" s="31" t="n"/>
      <c r="N167" s="32" t="n"/>
      <c r="O167" s="32" t="n"/>
      <c r="P167" s="33">
        <f>IF(J167="","",TODAY()-J167)</f>
        <v/>
      </c>
      <c r="Q167" s="5">
        <f>IF(AND(M167&lt;&gt;"",M167&lt;TODAY(),ISNA(MATCH(H167,{"Won","Lost","Do not contact"},0))),"OVERDUE","")</f>
        <v/>
      </c>
    </row>
    <row r="168">
      <c r="A168" s="31" t="n"/>
      <c r="B168" s="32" t="n"/>
      <c r="C168" s="32" t="n"/>
      <c r="D168" s="32" t="n"/>
      <c r="E168" s="32" t="n"/>
      <c r="F168" s="32" t="n"/>
      <c r="G168" s="32" t="n"/>
      <c r="H168" s="32" t="n"/>
      <c r="I168" s="32" t="n"/>
      <c r="J168" s="31" t="n"/>
      <c r="K168" s="32" t="n"/>
      <c r="L168" s="32" t="n"/>
      <c r="M168" s="31" t="n"/>
      <c r="N168" s="32" t="n"/>
      <c r="O168" s="32" t="n"/>
      <c r="P168" s="33">
        <f>IF(J168="","",TODAY()-J168)</f>
        <v/>
      </c>
      <c r="Q168" s="5">
        <f>IF(AND(M168&lt;&gt;"",M168&lt;TODAY(),ISNA(MATCH(H168,{"Won","Lost","Do not contact"},0))),"OVERDUE","")</f>
        <v/>
      </c>
    </row>
    <row r="169">
      <c r="A169" s="31" t="n"/>
      <c r="B169" s="32" t="n"/>
      <c r="C169" s="32" t="n"/>
      <c r="D169" s="32" t="n"/>
      <c r="E169" s="32" t="n"/>
      <c r="F169" s="32" t="n"/>
      <c r="G169" s="32" t="n"/>
      <c r="H169" s="32" t="n"/>
      <c r="I169" s="32" t="n"/>
      <c r="J169" s="31" t="n"/>
      <c r="K169" s="32" t="n"/>
      <c r="L169" s="32" t="n"/>
      <c r="M169" s="31" t="n"/>
      <c r="N169" s="32" t="n"/>
      <c r="O169" s="32" t="n"/>
      <c r="P169" s="33">
        <f>IF(J169="","",TODAY()-J169)</f>
        <v/>
      </c>
      <c r="Q169" s="5">
        <f>IF(AND(M169&lt;&gt;"",M169&lt;TODAY(),ISNA(MATCH(H169,{"Won","Lost","Do not contact"},0))),"OVERDUE","")</f>
        <v/>
      </c>
    </row>
    <row r="170">
      <c r="A170" s="31" t="n"/>
      <c r="B170" s="32" t="n"/>
      <c r="C170" s="32" t="n"/>
      <c r="D170" s="32" t="n"/>
      <c r="E170" s="32" t="n"/>
      <c r="F170" s="32" t="n"/>
      <c r="G170" s="32" t="n"/>
      <c r="H170" s="32" t="n"/>
      <c r="I170" s="32" t="n"/>
      <c r="J170" s="31" t="n"/>
      <c r="K170" s="32" t="n"/>
      <c r="L170" s="32" t="n"/>
      <c r="M170" s="31" t="n"/>
      <c r="N170" s="32" t="n"/>
      <c r="O170" s="32" t="n"/>
      <c r="P170" s="33">
        <f>IF(J170="","",TODAY()-J170)</f>
        <v/>
      </c>
      <c r="Q170" s="5">
        <f>IF(AND(M170&lt;&gt;"",M170&lt;TODAY(),ISNA(MATCH(H170,{"Won","Lost","Do not contact"},0))),"OVERDUE","")</f>
        <v/>
      </c>
    </row>
    <row r="171">
      <c r="A171" s="31" t="n"/>
      <c r="B171" s="32" t="n"/>
      <c r="C171" s="32" t="n"/>
      <c r="D171" s="32" t="n"/>
      <c r="E171" s="32" t="n"/>
      <c r="F171" s="32" t="n"/>
      <c r="G171" s="32" t="n"/>
      <c r="H171" s="32" t="n"/>
      <c r="I171" s="32" t="n"/>
      <c r="J171" s="31" t="n"/>
      <c r="K171" s="32" t="n"/>
      <c r="L171" s="32" t="n"/>
      <c r="M171" s="31" t="n"/>
      <c r="N171" s="32" t="n"/>
      <c r="O171" s="32" t="n"/>
      <c r="P171" s="33">
        <f>IF(J171="","",TODAY()-J171)</f>
        <v/>
      </c>
      <c r="Q171" s="5">
        <f>IF(AND(M171&lt;&gt;"",M171&lt;TODAY(),ISNA(MATCH(H171,{"Won","Lost","Do not contact"},0))),"OVERDUE","")</f>
        <v/>
      </c>
    </row>
    <row r="172">
      <c r="A172" s="31" t="n"/>
      <c r="B172" s="32" t="n"/>
      <c r="C172" s="32" t="n"/>
      <c r="D172" s="32" t="n"/>
      <c r="E172" s="32" t="n"/>
      <c r="F172" s="32" t="n"/>
      <c r="G172" s="32" t="n"/>
      <c r="H172" s="32" t="n"/>
      <c r="I172" s="32" t="n"/>
      <c r="J172" s="31" t="n"/>
      <c r="K172" s="32" t="n"/>
      <c r="L172" s="32" t="n"/>
      <c r="M172" s="31" t="n"/>
      <c r="N172" s="32" t="n"/>
      <c r="O172" s="32" t="n"/>
      <c r="P172" s="33">
        <f>IF(J172="","",TODAY()-J172)</f>
        <v/>
      </c>
      <c r="Q172" s="5">
        <f>IF(AND(M172&lt;&gt;"",M172&lt;TODAY(),ISNA(MATCH(H172,{"Won","Lost","Do not contact"},0))),"OVERDUE","")</f>
        <v/>
      </c>
    </row>
    <row r="173">
      <c r="A173" s="31" t="n"/>
      <c r="B173" s="32" t="n"/>
      <c r="C173" s="32" t="n"/>
      <c r="D173" s="32" t="n"/>
      <c r="E173" s="32" t="n"/>
      <c r="F173" s="32" t="n"/>
      <c r="G173" s="32" t="n"/>
      <c r="H173" s="32" t="n"/>
      <c r="I173" s="32" t="n"/>
      <c r="J173" s="31" t="n"/>
      <c r="K173" s="32" t="n"/>
      <c r="L173" s="32" t="n"/>
      <c r="M173" s="31" t="n"/>
      <c r="N173" s="32" t="n"/>
      <c r="O173" s="32" t="n"/>
      <c r="P173" s="33">
        <f>IF(J173="","",TODAY()-J173)</f>
        <v/>
      </c>
      <c r="Q173" s="5">
        <f>IF(AND(M173&lt;&gt;"",M173&lt;TODAY(),ISNA(MATCH(H173,{"Won","Lost","Do not contact"},0))),"OVERDUE","")</f>
        <v/>
      </c>
    </row>
    <row r="174">
      <c r="A174" s="31" t="n"/>
      <c r="B174" s="32" t="n"/>
      <c r="C174" s="32" t="n"/>
      <c r="D174" s="32" t="n"/>
      <c r="E174" s="32" t="n"/>
      <c r="F174" s="32" t="n"/>
      <c r="G174" s="32" t="n"/>
      <c r="H174" s="32" t="n"/>
      <c r="I174" s="32" t="n"/>
      <c r="J174" s="31" t="n"/>
      <c r="K174" s="32" t="n"/>
      <c r="L174" s="32" t="n"/>
      <c r="M174" s="31" t="n"/>
      <c r="N174" s="32" t="n"/>
      <c r="O174" s="32" t="n"/>
      <c r="P174" s="33">
        <f>IF(J174="","",TODAY()-J174)</f>
        <v/>
      </c>
      <c r="Q174" s="5">
        <f>IF(AND(M174&lt;&gt;"",M174&lt;TODAY(),ISNA(MATCH(H174,{"Won","Lost","Do not contact"},0))),"OVERDUE","")</f>
        <v/>
      </c>
    </row>
    <row r="175">
      <c r="A175" s="31" t="n"/>
      <c r="B175" s="32" t="n"/>
      <c r="C175" s="32" t="n"/>
      <c r="D175" s="32" t="n"/>
      <c r="E175" s="32" t="n"/>
      <c r="F175" s="32" t="n"/>
      <c r="G175" s="32" t="n"/>
      <c r="H175" s="32" t="n"/>
      <c r="I175" s="32" t="n"/>
      <c r="J175" s="31" t="n"/>
      <c r="K175" s="32" t="n"/>
      <c r="L175" s="32" t="n"/>
      <c r="M175" s="31" t="n"/>
      <c r="N175" s="32" t="n"/>
      <c r="O175" s="32" t="n"/>
      <c r="P175" s="33">
        <f>IF(J175="","",TODAY()-J175)</f>
        <v/>
      </c>
      <c r="Q175" s="5">
        <f>IF(AND(M175&lt;&gt;"",M175&lt;TODAY(),ISNA(MATCH(H175,{"Won","Lost","Do not contact"},0))),"OVERDUE","")</f>
        <v/>
      </c>
    </row>
    <row r="176">
      <c r="A176" s="31" t="n"/>
      <c r="B176" s="32" t="n"/>
      <c r="C176" s="32" t="n"/>
      <c r="D176" s="32" t="n"/>
      <c r="E176" s="32" t="n"/>
      <c r="F176" s="32" t="n"/>
      <c r="G176" s="32" t="n"/>
      <c r="H176" s="32" t="n"/>
      <c r="I176" s="32" t="n"/>
      <c r="J176" s="31" t="n"/>
      <c r="K176" s="32" t="n"/>
      <c r="L176" s="32" t="n"/>
      <c r="M176" s="31" t="n"/>
      <c r="N176" s="32" t="n"/>
      <c r="O176" s="32" t="n"/>
      <c r="P176" s="33">
        <f>IF(J176="","",TODAY()-J176)</f>
        <v/>
      </c>
      <c r="Q176" s="5">
        <f>IF(AND(M176&lt;&gt;"",M176&lt;TODAY(),ISNA(MATCH(H176,{"Won","Lost","Do not contact"},0))),"OVERDUE","")</f>
        <v/>
      </c>
    </row>
    <row r="177">
      <c r="A177" s="31" t="n"/>
      <c r="B177" s="32" t="n"/>
      <c r="C177" s="32" t="n"/>
      <c r="D177" s="32" t="n"/>
      <c r="E177" s="32" t="n"/>
      <c r="F177" s="32" t="n"/>
      <c r="G177" s="32" t="n"/>
      <c r="H177" s="32" t="n"/>
      <c r="I177" s="32" t="n"/>
      <c r="J177" s="31" t="n"/>
      <c r="K177" s="32" t="n"/>
      <c r="L177" s="32" t="n"/>
      <c r="M177" s="31" t="n"/>
      <c r="N177" s="32" t="n"/>
      <c r="O177" s="32" t="n"/>
      <c r="P177" s="33">
        <f>IF(J177="","",TODAY()-J177)</f>
        <v/>
      </c>
      <c r="Q177" s="5">
        <f>IF(AND(M177&lt;&gt;"",M177&lt;TODAY(),ISNA(MATCH(H177,{"Won","Lost","Do not contact"},0))),"OVERDUE","")</f>
        <v/>
      </c>
    </row>
    <row r="178">
      <c r="A178" s="31" t="n"/>
      <c r="B178" s="32" t="n"/>
      <c r="C178" s="32" t="n"/>
      <c r="D178" s="32" t="n"/>
      <c r="E178" s="32" t="n"/>
      <c r="F178" s="32" t="n"/>
      <c r="G178" s="32" t="n"/>
      <c r="H178" s="32" t="n"/>
      <c r="I178" s="32" t="n"/>
      <c r="J178" s="31" t="n"/>
      <c r="K178" s="32" t="n"/>
      <c r="L178" s="32" t="n"/>
      <c r="M178" s="31" t="n"/>
      <c r="N178" s="32" t="n"/>
      <c r="O178" s="32" t="n"/>
      <c r="P178" s="33">
        <f>IF(J178="","",TODAY()-J178)</f>
        <v/>
      </c>
      <c r="Q178" s="5">
        <f>IF(AND(M178&lt;&gt;"",M178&lt;TODAY(),ISNA(MATCH(H178,{"Won","Lost","Do not contact"},0))),"OVERDUE","")</f>
        <v/>
      </c>
    </row>
    <row r="179">
      <c r="A179" s="31" t="n"/>
      <c r="B179" s="32" t="n"/>
      <c r="C179" s="32" t="n"/>
      <c r="D179" s="32" t="n"/>
      <c r="E179" s="32" t="n"/>
      <c r="F179" s="32" t="n"/>
      <c r="G179" s="32" t="n"/>
      <c r="H179" s="32" t="n"/>
      <c r="I179" s="32" t="n"/>
      <c r="J179" s="31" t="n"/>
      <c r="K179" s="32" t="n"/>
      <c r="L179" s="32" t="n"/>
      <c r="M179" s="31" t="n"/>
      <c r="N179" s="32" t="n"/>
      <c r="O179" s="32" t="n"/>
      <c r="P179" s="33">
        <f>IF(J179="","",TODAY()-J179)</f>
        <v/>
      </c>
      <c r="Q179" s="5">
        <f>IF(AND(M179&lt;&gt;"",M179&lt;TODAY(),ISNA(MATCH(H179,{"Won","Lost","Do not contact"},0))),"OVERDUE","")</f>
        <v/>
      </c>
    </row>
    <row r="180">
      <c r="A180" s="31" t="n"/>
      <c r="B180" s="32" t="n"/>
      <c r="C180" s="32" t="n"/>
      <c r="D180" s="32" t="n"/>
      <c r="E180" s="32" t="n"/>
      <c r="F180" s="32" t="n"/>
      <c r="G180" s="32" t="n"/>
      <c r="H180" s="32" t="n"/>
      <c r="I180" s="32" t="n"/>
      <c r="J180" s="31" t="n"/>
      <c r="K180" s="32" t="n"/>
      <c r="L180" s="32" t="n"/>
      <c r="M180" s="31" t="n"/>
      <c r="N180" s="32" t="n"/>
      <c r="O180" s="32" t="n"/>
      <c r="P180" s="33">
        <f>IF(J180="","",TODAY()-J180)</f>
        <v/>
      </c>
      <c r="Q180" s="5">
        <f>IF(AND(M180&lt;&gt;"",M180&lt;TODAY(),ISNA(MATCH(H180,{"Won","Lost","Do not contact"},0))),"OVERDUE","")</f>
        <v/>
      </c>
    </row>
    <row r="181">
      <c r="A181" s="31" t="n"/>
      <c r="B181" s="32" t="n"/>
      <c r="C181" s="32" t="n"/>
      <c r="D181" s="32" t="n"/>
      <c r="E181" s="32" t="n"/>
      <c r="F181" s="32" t="n"/>
      <c r="G181" s="32" t="n"/>
      <c r="H181" s="32" t="n"/>
      <c r="I181" s="32" t="n"/>
      <c r="J181" s="31" t="n"/>
      <c r="K181" s="32" t="n"/>
      <c r="L181" s="32" t="n"/>
      <c r="M181" s="31" t="n"/>
      <c r="N181" s="32" t="n"/>
      <c r="O181" s="32" t="n"/>
      <c r="P181" s="33">
        <f>IF(J181="","",TODAY()-J181)</f>
        <v/>
      </c>
      <c r="Q181" s="5">
        <f>IF(AND(M181&lt;&gt;"",M181&lt;TODAY(),ISNA(MATCH(H181,{"Won","Lost","Do not contact"},0))),"OVERDUE","")</f>
        <v/>
      </c>
    </row>
    <row r="182">
      <c r="A182" s="31" t="n"/>
      <c r="B182" s="32" t="n"/>
      <c r="C182" s="32" t="n"/>
      <c r="D182" s="32" t="n"/>
      <c r="E182" s="32" t="n"/>
      <c r="F182" s="32" t="n"/>
      <c r="G182" s="32" t="n"/>
      <c r="H182" s="32" t="n"/>
      <c r="I182" s="32" t="n"/>
      <c r="J182" s="31" t="n"/>
      <c r="K182" s="32" t="n"/>
      <c r="L182" s="32" t="n"/>
      <c r="M182" s="31" t="n"/>
      <c r="N182" s="32" t="n"/>
      <c r="O182" s="32" t="n"/>
      <c r="P182" s="33">
        <f>IF(J182="","",TODAY()-J182)</f>
        <v/>
      </c>
      <c r="Q182" s="5">
        <f>IF(AND(M182&lt;&gt;"",M182&lt;TODAY(),ISNA(MATCH(H182,{"Won","Lost","Do not contact"},0))),"OVERDUE","")</f>
        <v/>
      </c>
    </row>
    <row r="183">
      <c r="A183" s="31" t="n"/>
      <c r="B183" s="32" t="n"/>
      <c r="C183" s="32" t="n"/>
      <c r="D183" s="32" t="n"/>
      <c r="E183" s="32" t="n"/>
      <c r="F183" s="32" t="n"/>
      <c r="G183" s="32" t="n"/>
      <c r="H183" s="32" t="n"/>
      <c r="I183" s="32" t="n"/>
      <c r="J183" s="31" t="n"/>
      <c r="K183" s="32" t="n"/>
      <c r="L183" s="32" t="n"/>
      <c r="M183" s="31" t="n"/>
      <c r="N183" s="32" t="n"/>
      <c r="O183" s="32" t="n"/>
      <c r="P183" s="33">
        <f>IF(J183="","",TODAY()-J183)</f>
        <v/>
      </c>
      <c r="Q183" s="5">
        <f>IF(AND(M183&lt;&gt;"",M183&lt;TODAY(),ISNA(MATCH(H183,{"Won","Lost","Do not contact"},0))),"OVERDUE","")</f>
        <v/>
      </c>
    </row>
    <row r="184">
      <c r="A184" s="31" t="n"/>
      <c r="B184" s="32" t="n"/>
      <c r="C184" s="32" t="n"/>
      <c r="D184" s="32" t="n"/>
      <c r="E184" s="32" t="n"/>
      <c r="F184" s="32" t="n"/>
      <c r="G184" s="32" t="n"/>
      <c r="H184" s="32" t="n"/>
      <c r="I184" s="32" t="n"/>
      <c r="J184" s="31" t="n"/>
      <c r="K184" s="32" t="n"/>
      <c r="L184" s="32" t="n"/>
      <c r="M184" s="31" t="n"/>
      <c r="N184" s="32" t="n"/>
      <c r="O184" s="32" t="n"/>
      <c r="P184" s="33">
        <f>IF(J184="","",TODAY()-J184)</f>
        <v/>
      </c>
      <c r="Q184" s="5">
        <f>IF(AND(M184&lt;&gt;"",M184&lt;TODAY(),ISNA(MATCH(H184,{"Won","Lost","Do not contact"},0))),"OVERDUE","")</f>
        <v/>
      </c>
    </row>
    <row r="185">
      <c r="A185" s="31" t="n"/>
      <c r="B185" s="32" t="n"/>
      <c r="C185" s="32" t="n"/>
      <c r="D185" s="32" t="n"/>
      <c r="E185" s="32" t="n"/>
      <c r="F185" s="32" t="n"/>
      <c r="G185" s="32" t="n"/>
      <c r="H185" s="32" t="n"/>
      <c r="I185" s="32" t="n"/>
      <c r="J185" s="31" t="n"/>
      <c r="K185" s="32" t="n"/>
      <c r="L185" s="32" t="n"/>
      <c r="M185" s="31" t="n"/>
      <c r="N185" s="32" t="n"/>
      <c r="O185" s="32" t="n"/>
      <c r="P185" s="33">
        <f>IF(J185="","",TODAY()-J185)</f>
        <v/>
      </c>
      <c r="Q185" s="5">
        <f>IF(AND(M185&lt;&gt;"",M185&lt;TODAY(),ISNA(MATCH(H185,{"Won","Lost","Do not contact"},0))),"OVERDUE","")</f>
        <v/>
      </c>
    </row>
    <row r="186">
      <c r="A186" s="31" t="n"/>
      <c r="B186" s="32" t="n"/>
      <c r="C186" s="32" t="n"/>
      <c r="D186" s="32" t="n"/>
      <c r="E186" s="32" t="n"/>
      <c r="F186" s="32" t="n"/>
      <c r="G186" s="32" t="n"/>
      <c r="H186" s="32" t="n"/>
      <c r="I186" s="32" t="n"/>
      <c r="J186" s="31" t="n"/>
      <c r="K186" s="32" t="n"/>
      <c r="L186" s="32" t="n"/>
      <c r="M186" s="31" t="n"/>
      <c r="N186" s="32" t="n"/>
      <c r="O186" s="32" t="n"/>
      <c r="P186" s="33">
        <f>IF(J186="","",TODAY()-J186)</f>
        <v/>
      </c>
      <c r="Q186" s="5">
        <f>IF(AND(M186&lt;&gt;"",M186&lt;TODAY(),ISNA(MATCH(H186,{"Won","Lost","Do not contact"},0))),"OVERDUE","")</f>
        <v/>
      </c>
    </row>
    <row r="187">
      <c r="A187" s="31" t="n"/>
      <c r="B187" s="32" t="n"/>
      <c r="C187" s="32" t="n"/>
      <c r="D187" s="32" t="n"/>
      <c r="E187" s="32" t="n"/>
      <c r="F187" s="32" t="n"/>
      <c r="G187" s="32" t="n"/>
      <c r="H187" s="32" t="n"/>
      <c r="I187" s="32" t="n"/>
      <c r="J187" s="31" t="n"/>
      <c r="K187" s="32" t="n"/>
      <c r="L187" s="32" t="n"/>
      <c r="M187" s="31" t="n"/>
      <c r="N187" s="32" t="n"/>
      <c r="O187" s="32" t="n"/>
      <c r="P187" s="33">
        <f>IF(J187="","",TODAY()-J187)</f>
        <v/>
      </c>
      <c r="Q187" s="5">
        <f>IF(AND(M187&lt;&gt;"",M187&lt;TODAY(),ISNA(MATCH(H187,{"Won","Lost","Do not contact"},0))),"OVERDUE","")</f>
        <v/>
      </c>
    </row>
    <row r="188">
      <c r="A188" s="31" t="n"/>
      <c r="B188" s="32" t="n"/>
      <c r="C188" s="32" t="n"/>
      <c r="D188" s="32" t="n"/>
      <c r="E188" s="32" t="n"/>
      <c r="F188" s="32" t="n"/>
      <c r="G188" s="32" t="n"/>
      <c r="H188" s="32" t="n"/>
      <c r="I188" s="32" t="n"/>
      <c r="J188" s="31" t="n"/>
      <c r="K188" s="32" t="n"/>
      <c r="L188" s="32" t="n"/>
      <c r="M188" s="31" t="n"/>
      <c r="N188" s="32" t="n"/>
      <c r="O188" s="32" t="n"/>
      <c r="P188" s="33">
        <f>IF(J188="","",TODAY()-J188)</f>
        <v/>
      </c>
      <c r="Q188" s="5">
        <f>IF(AND(M188&lt;&gt;"",M188&lt;TODAY(),ISNA(MATCH(H188,{"Won","Lost","Do not contact"},0))),"OVERDUE","")</f>
        <v/>
      </c>
    </row>
    <row r="189">
      <c r="A189" s="31" t="n"/>
      <c r="B189" s="32" t="n"/>
      <c r="C189" s="32" t="n"/>
      <c r="D189" s="32" t="n"/>
      <c r="E189" s="32" t="n"/>
      <c r="F189" s="32" t="n"/>
      <c r="G189" s="32" t="n"/>
      <c r="H189" s="32" t="n"/>
      <c r="I189" s="32" t="n"/>
      <c r="J189" s="31" t="n"/>
      <c r="K189" s="32" t="n"/>
      <c r="L189" s="32" t="n"/>
      <c r="M189" s="31" t="n"/>
      <c r="N189" s="32" t="n"/>
      <c r="O189" s="32" t="n"/>
      <c r="P189" s="33">
        <f>IF(J189="","",TODAY()-J189)</f>
        <v/>
      </c>
      <c r="Q189" s="5">
        <f>IF(AND(M189&lt;&gt;"",M189&lt;TODAY(),ISNA(MATCH(H189,{"Won","Lost","Do not contact"},0))),"OVERDUE","")</f>
        <v/>
      </c>
    </row>
    <row r="190">
      <c r="A190" s="31" t="n"/>
      <c r="B190" s="32" t="n"/>
      <c r="C190" s="32" t="n"/>
      <c r="D190" s="32" t="n"/>
      <c r="E190" s="32" t="n"/>
      <c r="F190" s="32" t="n"/>
      <c r="G190" s="32" t="n"/>
      <c r="H190" s="32" t="n"/>
      <c r="I190" s="32" t="n"/>
      <c r="J190" s="31" t="n"/>
      <c r="K190" s="32" t="n"/>
      <c r="L190" s="32" t="n"/>
      <c r="M190" s="31" t="n"/>
      <c r="N190" s="32" t="n"/>
      <c r="O190" s="32" t="n"/>
      <c r="P190" s="33">
        <f>IF(J190="","",TODAY()-J190)</f>
        <v/>
      </c>
      <c r="Q190" s="5">
        <f>IF(AND(M190&lt;&gt;"",M190&lt;TODAY(),ISNA(MATCH(H190,{"Won","Lost","Do not contact"},0))),"OVERDUE","")</f>
        <v/>
      </c>
    </row>
    <row r="191">
      <c r="A191" s="31" t="n"/>
      <c r="B191" s="32" t="n"/>
      <c r="C191" s="32" t="n"/>
      <c r="D191" s="32" t="n"/>
      <c r="E191" s="32" t="n"/>
      <c r="F191" s="32" t="n"/>
      <c r="G191" s="32" t="n"/>
      <c r="H191" s="32" t="n"/>
      <c r="I191" s="32" t="n"/>
      <c r="J191" s="31" t="n"/>
      <c r="K191" s="32" t="n"/>
      <c r="L191" s="32" t="n"/>
      <c r="M191" s="31" t="n"/>
      <c r="N191" s="32" t="n"/>
      <c r="O191" s="32" t="n"/>
      <c r="P191" s="33">
        <f>IF(J191="","",TODAY()-J191)</f>
        <v/>
      </c>
      <c r="Q191" s="5">
        <f>IF(AND(M191&lt;&gt;"",M191&lt;TODAY(),ISNA(MATCH(H191,{"Won","Lost","Do not contact"},0))),"OVERDUE","")</f>
        <v/>
      </c>
    </row>
    <row r="192">
      <c r="A192" s="31" t="n"/>
      <c r="B192" s="32" t="n"/>
      <c r="C192" s="32" t="n"/>
      <c r="D192" s="32" t="n"/>
      <c r="E192" s="32" t="n"/>
      <c r="F192" s="32" t="n"/>
      <c r="G192" s="32" t="n"/>
      <c r="H192" s="32" t="n"/>
      <c r="I192" s="32" t="n"/>
      <c r="J192" s="31" t="n"/>
      <c r="K192" s="32" t="n"/>
      <c r="L192" s="32" t="n"/>
      <c r="M192" s="31" t="n"/>
      <c r="N192" s="32" t="n"/>
      <c r="O192" s="32" t="n"/>
      <c r="P192" s="33">
        <f>IF(J192="","",TODAY()-J192)</f>
        <v/>
      </c>
      <c r="Q192" s="5">
        <f>IF(AND(M192&lt;&gt;"",M192&lt;TODAY(),ISNA(MATCH(H192,{"Won","Lost","Do not contact"},0))),"OVERDUE","")</f>
        <v/>
      </c>
    </row>
    <row r="193">
      <c r="A193" s="31" t="n"/>
      <c r="B193" s="32" t="n"/>
      <c r="C193" s="32" t="n"/>
      <c r="D193" s="32" t="n"/>
      <c r="E193" s="32" t="n"/>
      <c r="F193" s="32" t="n"/>
      <c r="G193" s="32" t="n"/>
      <c r="H193" s="32" t="n"/>
      <c r="I193" s="32" t="n"/>
      <c r="J193" s="31" t="n"/>
      <c r="K193" s="32" t="n"/>
      <c r="L193" s="32" t="n"/>
      <c r="M193" s="31" t="n"/>
      <c r="N193" s="32" t="n"/>
      <c r="O193" s="32" t="n"/>
      <c r="P193" s="33">
        <f>IF(J193="","",TODAY()-J193)</f>
        <v/>
      </c>
      <c r="Q193" s="5">
        <f>IF(AND(M193&lt;&gt;"",M193&lt;TODAY(),ISNA(MATCH(H193,{"Won","Lost","Do not contact"},0))),"OVERDUE","")</f>
        <v/>
      </c>
    </row>
    <row r="194">
      <c r="A194" s="31" t="n"/>
      <c r="B194" s="32" t="n"/>
      <c r="C194" s="32" t="n"/>
      <c r="D194" s="32" t="n"/>
      <c r="E194" s="32" t="n"/>
      <c r="F194" s="32" t="n"/>
      <c r="G194" s="32" t="n"/>
      <c r="H194" s="32" t="n"/>
      <c r="I194" s="32" t="n"/>
      <c r="J194" s="31" t="n"/>
      <c r="K194" s="32" t="n"/>
      <c r="L194" s="32" t="n"/>
      <c r="M194" s="31" t="n"/>
      <c r="N194" s="32" t="n"/>
      <c r="O194" s="32" t="n"/>
      <c r="P194" s="33">
        <f>IF(J194="","",TODAY()-J194)</f>
        <v/>
      </c>
      <c r="Q194" s="5">
        <f>IF(AND(M194&lt;&gt;"",M194&lt;TODAY(),ISNA(MATCH(H194,{"Won","Lost","Do not contact"},0))),"OVERDUE","")</f>
        <v/>
      </c>
    </row>
    <row r="195">
      <c r="A195" s="31" t="n"/>
      <c r="B195" s="32" t="n"/>
      <c r="C195" s="32" t="n"/>
      <c r="D195" s="32" t="n"/>
      <c r="E195" s="32" t="n"/>
      <c r="F195" s="32" t="n"/>
      <c r="G195" s="32" t="n"/>
      <c r="H195" s="32" t="n"/>
      <c r="I195" s="32" t="n"/>
      <c r="J195" s="31" t="n"/>
      <c r="K195" s="32" t="n"/>
      <c r="L195" s="32" t="n"/>
      <c r="M195" s="31" t="n"/>
      <c r="N195" s="32" t="n"/>
      <c r="O195" s="32" t="n"/>
      <c r="P195" s="33">
        <f>IF(J195="","",TODAY()-J195)</f>
        <v/>
      </c>
      <c r="Q195" s="5">
        <f>IF(AND(M195&lt;&gt;"",M195&lt;TODAY(),ISNA(MATCH(H195,{"Won","Lost","Do not contact"},0))),"OVERDUE","")</f>
        <v/>
      </c>
    </row>
    <row r="196">
      <c r="A196" s="31" t="n"/>
      <c r="B196" s="32" t="n"/>
      <c r="C196" s="32" t="n"/>
      <c r="D196" s="32" t="n"/>
      <c r="E196" s="32" t="n"/>
      <c r="F196" s="32" t="n"/>
      <c r="G196" s="32" t="n"/>
      <c r="H196" s="32" t="n"/>
      <c r="I196" s="32" t="n"/>
      <c r="J196" s="31" t="n"/>
      <c r="K196" s="32" t="n"/>
      <c r="L196" s="32" t="n"/>
      <c r="M196" s="31" t="n"/>
      <c r="N196" s="32" t="n"/>
      <c r="O196" s="32" t="n"/>
      <c r="P196" s="33">
        <f>IF(J196="","",TODAY()-J196)</f>
        <v/>
      </c>
      <c r="Q196" s="5">
        <f>IF(AND(M196&lt;&gt;"",M196&lt;TODAY(),ISNA(MATCH(H196,{"Won","Lost","Do not contact"},0))),"OVERDUE","")</f>
        <v/>
      </c>
    </row>
    <row r="197">
      <c r="A197" s="31" t="n"/>
      <c r="B197" s="32" t="n"/>
      <c r="C197" s="32" t="n"/>
      <c r="D197" s="32" t="n"/>
      <c r="E197" s="32" t="n"/>
      <c r="F197" s="32" t="n"/>
      <c r="G197" s="32" t="n"/>
      <c r="H197" s="32" t="n"/>
      <c r="I197" s="32" t="n"/>
      <c r="J197" s="31" t="n"/>
      <c r="K197" s="32" t="n"/>
      <c r="L197" s="32" t="n"/>
      <c r="M197" s="31" t="n"/>
      <c r="N197" s="32" t="n"/>
      <c r="O197" s="32" t="n"/>
      <c r="P197" s="33">
        <f>IF(J197="","",TODAY()-J197)</f>
        <v/>
      </c>
      <c r="Q197" s="5">
        <f>IF(AND(M197&lt;&gt;"",M197&lt;TODAY(),ISNA(MATCH(H197,{"Won","Lost","Do not contact"},0))),"OVERDUE","")</f>
        <v/>
      </c>
    </row>
    <row r="198">
      <c r="A198" s="31" t="n"/>
      <c r="B198" s="32" t="n"/>
      <c r="C198" s="32" t="n"/>
      <c r="D198" s="32" t="n"/>
      <c r="E198" s="32" t="n"/>
      <c r="F198" s="32" t="n"/>
      <c r="G198" s="32" t="n"/>
      <c r="H198" s="32" t="n"/>
      <c r="I198" s="32" t="n"/>
      <c r="J198" s="31" t="n"/>
      <c r="K198" s="32" t="n"/>
      <c r="L198" s="32" t="n"/>
      <c r="M198" s="31" t="n"/>
      <c r="N198" s="32" t="n"/>
      <c r="O198" s="32" t="n"/>
      <c r="P198" s="33">
        <f>IF(J198="","",TODAY()-J198)</f>
        <v/>
      </c>
      <c r="Q198" s="5">
        <f>IF(AND(M198&lt;&gt;"",M198&lt;TODAY(),ISNA(MATCH(H198,{"Won","Lost","Do not contact"},0))),"OVERDUE","")</f>
        <v/>
      </c>
    </row>
    <row r="199">
      <c r="A199" s="31" t="n"/>
      <c r="B199" s="32" t="n"/>
      <c r="C199" s="32" t="n"/>
      <c r="D199" s="32" t="n"/>
      <c r="E199" s="32" t="n"/>
      <c r="F199" s="32" t="n"/>
      <c r="G199" s="32" t="n"/>
      <c r="H199" s="32" t="n"/>
      <c r="I199" s="32" t="n"/>
      <c r="J199" s="31" t="n"/>
      <c r="K199" s="32" t="n"/>
      <c r="L199" s="32" t="n"/>
      <c r="M199" s="31" t="n"/>
      <c r="N199" s="32" t="n"/>
      <c r="O199" s="32" t="n"/>
      <c r="P199" s="33">
        <f>IF(J199="","",TODAY()-J199)</f>
        <v/>
      </c>
      <c r="Q199" s="5">
        <f>IF(AND(M199&lt;&gt;"",M199&lt;TODAY(),ISNA(MATCH(H199,{"Won","Lost","Do not contact"},0))),"OVERDUE","")</f>
        <v/>
      </c>
    </row>
    <row r="200">
      <c r="A200" s="31" t="n"/>
      <c r="B200" s="32" t="n"/>
      <c r="C200" s="32" t="n"/>
      <c r="D200" s="32" t="n"/>
      <c r="E200" s="32" t="n"/>
      <c r="F200" s="32" t="n"/>
      <c r="G200" s="32" t="n"/>
      <c r="H200" s="32" t="n"/>
      <c r="I200" s="32" t="n"/>
      <c r="J200" s="31" t="n"/>
      <c r="K200" s="32" t="n"/>
      <c r="L200" s="32" t="n"/>
      <c r="M200" s="31" t="n"/>
      <c r="N200" s="32" t="n"/>
      <c r="O200" s="32" t="n"/>
      <c r="P200" s="33">
        <f>IF(J200="","",TODAY()-J200)</f>
        <v/>
      </c>
      <c r="Q200" s="5">
        <f>IF(AND(M200&lt;&gt;"",M200&lt;TODAY(),ISNA(MATCH(H200,{"Won","Lost","Do not contact"},0))),"OVERDUE","")</f>
        <v/>
      </c>
    </row>
    <row r="201">
      <c r="A201" s="31" t="n"/>
      <c r="B201" s="32" t="n"/>
      <c r="C201" s="32" t="n"/>
      <c r="D201" s="32" t="n"/>
      <c r="E201" s="32" t="n"/>
      <c r="F201" s="32" t="n"/>
      <c r="G201" s="32" t="n"/>
      <c r="H201" s="32" t="n"/>
      <c r="I201" s="32" t="n"/>
      <c r="J201" s="31" t="n"/>
      <c r="K201" s="32" t="n"/>
      <c r="L201" s="32" t="n"/>
      <c r="M201" s="31" t="n"/>
      <c r="N201" s="32" t="n"/>
      <c r="O201" s="32" t="n"/>
      <c r="P201" s="33">
        <f>IF(J201="","",TODAY()-J201)</f>
        <v/>
      </c>
      <c r="Q201" s="5">
        <f>IF(AND(M201&lt;&gt;"",M201&lt;TODAY(),ISNA(MATCH(H201,{"Won","Lost","Do not contact"},0))),"OVERDUE","")</f>
        <v/>
      </c>
    </row>
    <row r="202">
      <c r="A202" s="31" t="n"/>
      <c r="B202" s="32" t="n"/>
      <c r="C202" s="32" t="n"/>
      <c r="D202" s="32" t="n"/>
      <c r="E202" s="32" t="n"/>
      <c r="F202" s="32" t="n"/>
      <c r="G202" s="32" t="n"/>
      <c r="H202" s="32" t="n"/>
      <c r="I202" s="32" t="n"/>
      <c r="J202" s="31" t="n"/>
      <c r="K202" s="32" t="n"/>
      <c r="L202" s="32" t="n"/>
      <c r="M202" s="31" t="n"/>
      <c r="N202" s="32" t="n"/>
      <c r="O202" s="32" t="n"/>
      <c r="P202" s="33">
        <f>IF(J202="","",TODAY()-J202)</f>
        <v/>
      </c>
      <c r="Q202" s="5">
        <f>IF(AND(M202&lt;&gt;"",M202&lt;TODAY(),ISNA(MATCH(H202,{"Won","Lost","Do not contact"},0))),"OVERDUE","")</f>
        <v/>
      </c>
    </row>
    <row r="203">
      <c r="A203" s="31" t="n"/>
      <c r="B203" s="32" t="n"/>
      <c r="C203" s="32" t="n"/>
      <c r="D203" s="32" t="n"/>
      <c r="E203" s="32" t="n"/>
      <c r="F203" s="32" t="n"/>
      <c r="G203" s="32" t="n"/>
      <c r="H203" s="32" t="n"/>
      <c r="I203" s="32" t="n"/>
      <c r="J203" s="31" t="n"/>
      <c r="K203" s="32" t="n"/>
      <c r="L203" s="32" t="n"/>
      <c r="M203" s="31" t="n"/>
      <c r="N203" s="32" t="n"/>
      <c r="O203" s="32" t="n"/>
      <c r="P203" s="33">
        <f>IF(J203="","",TODAY()-J203)</f>
        <v/>
      </c>
      <c r="Q203" s="5">
        <f>IF(AND(M203&lt;&gt;"",M203&lt;TODAY(),ISNA(MATCH(H203,{"Won","Lost","Do not contact"},0))),"OVERDUE","")</f>
        <v/>
      </c>
    </row>
    <row r="204">
      <c r="A204" s="31" t="n"/>
      <c r="B204" s="32" t="n"/>
      <c r="C204" s="32" t="n"/>
      <c r="D204" s="32" t="n"/>
      <c r="E204" s="32" t="n"/>
      <c r="F204" s="32" t="n"/>
      <c r="G204" s="32" t="n"/>
      <c r="H204" s="32" t="n"/>
      <c r="I204" s="32" t="n"/>
      <c r="J204" s="31" t="n"/>
      <c r="K204" s="32" t="n"/>
      <c r="L204" s="32" t="n"/>
      <c r="M204" s="31" t="n"/>
      <c r="N204" s="32" t="n"/>
      <c r="O204" s="32" t="n"/>
      <c r="P204" s="33">
        <f>IF(J204="","",TODAY()-J204)</f>
        <v/>
      </c>
      <c r="Q204" s="5">
        <f>IF(AND(M204&lt;&gt;"",M204&lt;TODAY(),ISNA(MATCH(H204,{"Won","Lost","Do not contact"},0))),"OVERDUE","")</f>
        <v/>
      </c>
    </row>
    <row r="205">
      <c r="A205" s="31" t="n"/>
      <c r="B205" s="32" t="n"/>
      <c r="C205" s="32" t="n"/>
      <c r="D205" s="32" t="n"/>
      <c r="E205" s="32" t="n"/>
      <c r="F205" s="32" t="n"/>
      <c r="G205" s="32" t="n"/>
      <c r="H205" s="32" t="n"/>
      <c r="I205" s="32" t="n"/>
      <c r="J205" s="31" t="n"/>
      <c r="K205" s="32" t="n"/>
      <c r="L205" s="32" t="n"/>
      <c r="M205" s="31" t="n"/>
      <c r="N205" s="32" t="n"/>
      <c r="O205" s="32" t="n"/>
      <c r="P205" s="33">
        <f>IF(J205="","",TODAY()-J205)</f>
        <v/>
      </c>
      <c r="Q205" s="5">
        <f>IF(AND(M205&lt;&gt;"",M205&lt;TODAY(),ISNA(MATCH(H205,{"Won","Lost","Do not contact"},0))),"OVERDUE","")</f>
        <v/>
      </c>
    </row>
    <row r="206">
      <c r="A206" s="31" t="n"/>
      <c r="B206" s="32" t="n"/>
      <c r="C206" s="32" t="n"/>
      <c r="D206" s="32" t="n"/>
      <c r="E206" s="32" t="n"/>
      <c r="F206" s="32" t="n"/>
      <c r="G206" s="32" t="n"/>
      <c r="H206" s="32" t="n"/>
      <c r="I206" s="32" t="n"/>
      <c r="J206" s="31" t="n"/>
      <c r="K206" s="32" t="n"/>
      <c r="L206" s="32" t="n"/>
      <c r="M206" s="31" t="n"/>
      <c r="N206" s="32" t="n"/>
      <c r="O206" s="32" t="n"/>
      <c r="P206" s="33">
        <f>IF(J206="","",TODAY()-J206)</f>
        <v/>
      </c>
      <c r="Q206" s="5">
        <f>IF(AND(M206&lt;&gt;"",M206&lt;TODAY(),ISNA(MATCH(H206,{"Won","Lost","Do not contact"},0))),"OVERDUE","")</f>
        <v/>
      </c>
    </row>
    <row r="207">
      <c r="A207" s="31" t="n"/>
      <c r="B207" s="32" t="n"/>
      <c r="C207" s="32" t="n"/>
      <c r="D207" s="32" t="n"/>
      <c r="E207" s="32" t="n"/>
      <c r="F207" s="32" t="n"/>
      <c r="G207" s="32" t="n"/>
      <c r="H207" s="32" t="n"/>
      <c r="I207" s="32" t="n"/>
      <c r="J207" s="31" t="n"/>
      <c r="K207" s="32" t="n"/>
      <c r="L207" s="32" t="n"/>
      <c r="M207" s="31" t="n"/>
      <c r="N207" s="32" t="n"/>
      <c r="O207" s="32" t="n"/>
      <c r="P207" s="33">
        <f>IF(J207="","",TODAY()-J207)</f>
        <v/>
      </c>
      <c r="Q207" s="5">
        <f>IF(AND(M207&lt;&gt;"",M207&lt;TODAY(),ISNA(MATCH(H207,{"Won","Lost","Do not contact"},0))),"OVERDUE","")</f>
        <v/>
      </c>
    </row>
    <row r="208">
      <c r="A208" s="31" t="n"/>
      <c r="B208" s="32" t="n"/>
      <c r="C208" s="32" t="n"/>
      <c r="D208" s="32" t="n"/>
      <c r="E208" s="32" t="n"/>
      <c r="F208" s="32" t="n"/>
      <c r="G208" s="32" t="n"/>
      <c r="H208" s="32" t="n"/>
      <c r="I208" s="32" t="n"/>
      <c r="J208" s="31" t="n"/>
      <c r="K208" s="32" t="n"/>
      <c r="L208" s="32" t="n"/>
      <c r="M208" s="31" t="n"/>
      <c r="N208" s="32" t="n"/>
      <c r="O208" s="32" t="n"/>
      <c r="P208" s="33">
        <f>IF(J208="","",TODAY()-J208)</f>
        <v/>
      </c>
      <c r="Q208" s="5">
        <f>IF(AND(M208&lt;&gt;"",M208&lt;TODAY(),ISNA(MATCH(H208,{"Won","Lost","Do not contact"},0))),"OVERDUE","")</f>
        <v/>
      </c>
    </row>
    <row r="209">
      <c r="A209" s="31" t="n"/>
      <c r="B209" s="32" t="n"/>
      <c r="C209" s="32" t="n"/>
      <c r="D209" s="32" t="n"/>
      <c r="E209" s="32" t="n"/>
      <c r="F209" s="32" t="n"/>
      <c r="G209" s="32" t="n"/>
      <c r="H209" s="32" t="n"/>
      <c r="I209" s="32" t="n"/>
      <c r="J209" s="31" t="n"/>
      <c r="K209" s="32" t="n"/>
      <c r="L209" s="32" t="n"/>
      <c r="M209" s="31" t="n"/>
      <c r="N209" s="32" t="n"/>
      <c r="O209" s="32" t="n"/>
      <c r="P209" s="33">
        <f>IF(J209="","",TODAY()-J209)</f>
        <v/>
      </c>
      <c r="Q209" s="5">
        <f>IF(AND(M209&lt;&gt;"",M209&lt;TODAY(),ISNA(MATCH(H209,{"Won","Lost","Do not contact"},0))),"OVERDUE","")</f>
        <v/>
      </c>
    </row>
    <row r="210">
      <c r="A210" s="31" t="n"/>
      <c r="B210" s="32" t="n"/>
      <c r="C210" s="32" t="n"/>
      <c r="D210" s="32" t="n"/>
      <c r="E210" s="32" t="n"/>
      <c r="F210" s="32" t="n"/>
      <c r="G210" s="32" t="n"/>
      <c r="H210" s="32" t="n"/>
      <c r="I210" s="32" t="n"/>
      <c r="J210" s="31" t="n"/>
      <c r="K210" s="32" t="n"/>
      <c r="L210" s="32" t="n"/>
      <c r="M210" s="31" t="n"/>
      <c r="N210" s="32" t="n"/>
      <c r="O210" s="32" t="n"/>
      <c r="P210" s="33">
        <f>IF(J210="","",TODAY()-J210)</f>
        <v/>
      </c>
      <c r="Q210" s="5">
        <f>IF(AND(M210&lt;&gt;"",M210&lt;TODAY(),ISNA(MATCH(H210,{"Won","Lost","Do not contact"},0))),"OVERDUE","")</f>
        <v/>
      </c>
    </row>
    <row r="211">
      <c r="A211" s="31" t="n"/>
      <c r="B211" s="32" t="n"/>
      <c r="C211" s="32" t="n"/>
      <c r="D211" s="32" t="n"/>
      <c r="E211" s="32" t="n"/>
      <c r="F211" s="32" t="n"/>
      <c r="G211" s="32" t="n"/>
      <c r="H211" s="32" t="n"/>
      <c r="I211" s="32" t="n"/>
      <c r="J211" s="31" t="n"/>
      <c r="K211" s="32" t="n"/>
      <c r="L211" s="32" t="n"/>
      <c r="M211" s="31" t="n"/>
      <c r="N211" s="32" t="n"/>
      <c r="O211" s="32" t="n"/>
      <c r="P211" s="33">
        <f>IF(J211="","",TODAY()-J211)</f>
        <v/>
      </c>
      <c r="Q211" s="5">
        <f>IF(AND(M211&lt;&gt;"",M211&lt;TODAY(),ISNA(MATCH(H211,{"Won","Lost","Do not contact"},0))),"OVERDUE","")</f>
        <v/>
      </c>
    </row>
    <row r="212">
      <c r="A212" s="31" t="n"/>
      <c r="B212" s="32" t="n"/>
      <c r="C212" s="32" t="n"/>
      <c r="D212" s="32" t="n"/>
      <c r="E212" s="32" t="n"/>
      <c r="F212" s="32" t="n"/>
      <c r="G212" s="32" t="n"/>
      <c r="H212" s="32" t="n"/>
      <c r="I212" s="32" t="n"/>
      <c r="J212" s="31" t="n"/>
      <c r="K212" s="32" t="n"/>
      <c r="L212" s="32" t="n"/>
      <c r="M212" s="31" t="n"/>
      <c r="N212" s="32" t="n"/>
      <c r="O212" s="32" t="n"/>
      <c r="P212" s="33">
        <f>IF(J212="","",TODAY()-J212)</f>
        <v/>
      </c>
      <c r="Q212" s="5">
        <f>IF(AND(M212&lt;&gt;"",M212&lt;TODAY(),ISNA(MATCH(H212,{"Won","Lost","Do not contact"},0))),"OVERDUE","")</f>
        <v/>
      </c>
    </row>
    <row r="213">
      <c r="A213" s="31" t="n"/>
      <c r="B213" s="32" t="n"/>
      <c r="C213" s="32" t="n"/>
      <c r="D213" s="32" t="n"/>
      <c r="E213" s="32" t="n"/>
      <c r="F213" s="32" t="n"/>
      <c r="G213" s="32" t="n"/>
      <c r="H213" s="32" t="n"/>
      <c r="I213" s="32" t="n"/>
      <c r="J213" s="31" t="n"/>
      <c r="K213" s="32" t="n"/>
      <c r="L213" s="32" t="n"/>
      <c r="M213" s="31" t="n"/>
      <c r="N213" s="32" t="n"/>
      <c r="O213" s="32" t="n"/>
      <c r="P213" s="33">
        <f>IF(J213="","",TODAY()-J213)</f>
        <v/>
      </c>
      <c r="Q213" s="5">
        <f>IF(AND(M213&lt;&gt;"",M213&lt;TODAY(),ISNA(MATCH(H213,{"Won","Lost","Do not contact"},0))),"OVERDUE","")</f>
        <v/>
      </c>
    </row>
    <row r="214">
      <c r="A214" s="31" t="n"/>
      <c r="B214" s="32" t="n"/>
      <c r="C214" s="32" t="n"/>
      <c r="D214" s="32" t="n"/>
      <c r="E214" s="32" t="n"/>
      <c r="F214" s="32" t="n"/>
      <c r="G214" s="32" t="n"/>
      <c r="H214" s="32" t="n"/>
      <c r="I214" s="32" t="n"/>
      <c r="J214" s="31" t="n"/>
      <c r="K214" s="32" t="n"/>
      <c r="L214" s="32" t="n"/>
      <c r="M214" s="31" t="n"/>
      <c r="N214" s="32" t="n"/>
      <c r="O214" s="32" t="n"/>
      <c r="P214" s="33">
        <f>IF(J214="","",TODAY()-J214)</f>
        <v/>
      </c>
      <c r="Q214" s="5">
        <f>IF(AND(M214&lt;&gt;"",M214&lt;TODAY(),ISNA(MATCH(H214,{"Won","Lost","Do not contact"},0))),"OVERDUE","")</f>
        <v/>
      </c>
    </row>
    <row r="215">
      <c r="A215" s="31" t="n"/>
      <c r="B215" s="32" t="n"/>
      <c r="C215" s="32" t="n"/>
      <c r="D215" s="32" t="n"/>
      <c r="E215" s="32" t="n"/>
      <c r="F215" s="32" t="n"/>
      <c r="G215" s="32" t="n"/>
      <c r="H215" s="32" t="n"/>
      <c r="I215" s="32" t="n"/>
      <c r="J215" s="31" t="n"/>
      <c r="K215" s="32" t="n"/>
      <c r="L215" s="32" t="n"/>
      <c r="M215" s="31" t="n"/>
      <c r="N215" s="32" t="n"/>
      <c r="O215" s="32" t="n"/>
      <c r="P215" s="33">
        <f>IF(J215="","",TODAY()-J215)</f>
        <v/>
      </c>
      <c r="Q215" s="5">
        <f>IF(AND(M215&lt;&gt;"",M215&lt;TODAY(),ISNA(MATCH(H215,{"Won","Lost","Do not contact"},0))),"OVERDUE","")</f>
        <v/>
      </c>
    </row>
    <row r="216">
      <c r="A216" s="31" t="n"/>
      <c r="B216" s="32" t="n"/>
      <c r="C216" s="32" t="n"/>
      <c r="D216" s="32" t="n"/>
      <c r="E216" s="32" t="n"/>
      <c r="F216" s="32" t="n"/>
      <c r="G216" s="32" t="n"/>
      <c r="H216" s="32" t="n"/>
      <c r="I216" s="32" t="n"/>
      <c r="J216" s="31" t="n"/>
      <c r="K216" s="32" t="n"/>
      <c r="L216" s="32" t="n"/>
      <c r="M216" s="31" t="n"/>
      <c r="N216" s="32" t="n"/>
      <c r="O216" s="32" t="n"/>
      <c r="P216" s="33">
        <f>IF(J216="","",TODAY()-J216)</f>
        <v/>
      </c>
      <c r="Q216" s="5">
        <f>IF(AND(M216&lt;&gt;"",M216&lt;TODAY(),ISNA(MATCH(H216,{"Won","Lost","Do not contact"},0))),"OVERDUE","")</f>
        <v/>
      </c>
    </row>
    <row r="217">
      <c r="A217" s="31" t="n"/>
      <c r="B217" s="32" t="n"/>
      <c r="C217" s="32" t="n"/>
      <c r="D217" s="32" t="n"/>
      <c r="E217" s="32" t="n"/>
      <c r="F217" s="32" t="n"/>
      <c r="G217" s="32" t="n"/>
      <c r="H217" s="32" t="n"/>
      <c r="I217" s="32" t="n"/>
      <c r="J217" s="31" t="n"/>
      <c r="K217" s="32" t="n"/>
      <c r="L217" s="32" t="n"/>
      <c r="M217" s="31" t="n"/>
      <c r="N217" s="32" t="n"/>
      <c r="O217" s="32" t="n"/>
      <c r="P217" s="33">
        <f>IF(J217="","",TODAY()-J217)</f>
        <v/>
      </c>
      <c r="Q217" s="5">
        <f>IF(AND(M217&lt;&gt;"",M217&lt;TODAY(),ISNA(MATCH(H217,{"Won","Lost","Do not contact"},0))),"OVERDUE","")</f>
        <v/>
      </c>
    </row>
    <row r="218">
      <c r="A218" s="31" t="n"/>
      <c r="B218" s="32" t="n"/>
      <c r="C218" s="32" t="n"/>
      <c r="D218" s="32" t="n"/>
      <c r="E218" s="32" t="n"/>
      <c r="F218" s="32" t="n"/>
      <c r="G218" s="32" t="n"/>
      <c r="H218" s="32" t="n"/>
      <c r="I218" s="32" t="n"/>
      <c r="J218" s="31" t="n"/>
      <c r="K218" s="32" t="n"/>
      <c r="L218" s="32" t="n"/>
      <c r="M218" s="31" t="n"/>
      <c r="N218" s="32" t="n"/>
      <c r="O218" s="32" t="n"/>
      <c r="P218" s="33">
        <f>IF(J218="","",TODAY()-J218)</f>
        <v/>
      </c>
      <c r="Q218" s="5">
        <f>IF(AND(M218&lt;&gt;"",M218&lt;TODAY(),ISNA(MATCH(H218,{"Won","Lost","Do not contact"},0))),"OVERDUE","")</f>
        <v/>
      </c>
    </row>
    <row r="219">
      <c r="A219" s="31" t="n"/>
      <c r="B219" s="32" t="n"/>
      <c r="C219" s="32" t="n"/>
      <c r="D219" s="32" t="n"/>
      <c r="E219" s="32" t="n"/>
      <c r="F219" s="32" t="n"/>
      <c r="G219" s="32" t="n"/>
      <c r="H219" s="32" t="n"/>
      <c r="I219" s="32" t="n"/>
      <c r="J219" s="31" t="n"/>
      <c r="K219" s="32" t="n"/>
      <c r="L219" s="32" t="n"/>
      <c r="M219" s="31" t="n"/>
      <c r="N219" s="32" t="n"/>
      <c r="O219" s="32" t="n"/>
      <c r="P219" s="33">
        <f>IF(J219="","",TODAY()-J219)</f>
        <v/>
      </c>
      <c r="Q219" s="5">
        <f>IF(AND(M219&lt;&gt;"",M219&lt;TODAY(),ISNA(MATCH(H219,{"Won","Lost","Do not contact"},0))),"OVERDUE","")</f>
        <v/>
      </c>
    </row>
    <row r="220">
      <c r="A220" s="31" t="n"/>
      <c r="B220" s="32" t="n"/>
      <c r="C220" s="32" t="n"/>
      <c r="D220" s="32" t="n"/>
      <c r="E220" s="32" t="n"/>
      <c r="F220" s="32" t="n"/>
      <c r="G220" s="32" t="n"/>
      <c r="H220" s="32" t="n"/>
      <c r="I220" s="32" t="n"/>
      <c r="J220" s="31" t="n"/>
      <c r="K220" s="32" t="n"/>
      <c r="L220" s="32" t="n"/>
      <c r="M220" s="31" t="n"/>
      <c r="N220" s="32" t="n"/>
      <c r="O220" s="32" t="n"/>
      <c r="P220" s="33">
        <f>IF(J220="","",TODAY()-J220)</f>
        <v/>
      </c>
      <c r="Q220" s="5">
        <f>IF(AND(M220&lt;&gt;"",M220&lt;TODAY(),ISNA(MATCH(H220,{"Won","Lost","Do not contact"},0))),"OVERDUE","")</f>
        <v/>
      </c>
    </row>
    <row r="221">
      <c r="A221" s="31" t="n"/>
      <c r="B221" s="32" t="n"/>
      <c r="C221" s="32" t="n"/>
      <c r="D221" s="32" t="n"/>
      <c r="E221" s="32" t="n"/>
      <c r="F221" s="32" t="n"/>
      <c r="G221" s="32" t="n"/>
      <c r="H221" s="32" t="n"/>
      <c r="I221" s="32" t="n"/>
      <c r="J221" s="31" t="n"/>
      <c r="K221" s="32" t="n"/>
      <c r="L221" s="32" t="n"/>
      <c r="M221" s="31" t="n"/>
      <c r="N221" s="32" t="n"/>
      <c r="O221" s="32" t="n"/>
      <c r="P221" s="33">
        <f>IF(J221="","",TODAY()-J221)</f>
        <v/>
      </c>
      <c r="Q221" s="5">
        <f>IF(AND(M221&lt;&gt;"",M221&lt;TODAY(),ISNA(MATCH(H221,{"Won","Lost","Do not contact"},0))),"OVERDUE","")</f>
        <v/>
      </c>
    </row>
    <row r="222">
      <c r="A222" s="31" t="n"/>
      <c r="B222" s="32" t="n"/>
      <c r="C222" s="32" t="n"/>
      <c r="D222" s="32" t="n"/>
      <c r="E222" s="32" t="n"/>
      <c r="F222" s="32" t="n"/>
      <c r="G222" s="32" t="n"/>
      <c r="H222" s="32" t="n"/>
      <c r="I222" s="32" t="n"/>
      <c r="J222" s="31" t="n"/>
      <c r="K222" s="32" t="n"/>
      <c r="L222" s="32" t="n"/>
      <c r="M222" s="31" t="n"/>
      <c r="N222" s="32" t="n"/>
      <c r="O222" s="32" t="n"/>
      <c r="P222" s="33">
        <f>IF(J222="","",TODAY()-J222)</f>
        <v/>
      </c>
      <c r="Q222" s="5">
        <f>IF(AND(M222&lt;&gt;"",M222&lt;TODAY(),ISNA(MATCH(H222,{"Won","Lost","Do not contact"},0))),"OVERDUE","")</f>
        <v/>
      </c>
    </row>
    <row r="223">
      <c r="A223" s="31" t="n"/>
      <c r="B223" s="32" t="n"/>
      <c r="C223" s="32" t="n"/>
      <c r="D223" s="32" t="n"/>
      <c r="E223" s="32" t="n"/>
      <c r="F223" s="32" t="n"/>
      <c r="G223" s="32" t="n"/>
      <c r="H223" s="32" t="n"/>
      <c r="I223" s="32" t="n"/>
      <c r="J223" s="31" t="n"/>
      <c r="K223" s="32" t="n"/>
      <c r="L223" s="32" t="n"/>
      <c r="M223" s="31" t="n"/>
      <c r="N223" s="32" t="n"/>
      <c r="O223" s="32" t="n"/>
      <c r="P223" s="33">
        <f>IF(J223="","",TODAY()-J223)</f>
        <v/>
      </c>
      <c r="Q223" s="5">
        <f>IF(AND(M223&lt;&gt;"",M223&lt;TODAY(),ISNA(MATCH(H223,{"Won","Lost","Do not contact"},0))),"OVERDUE","")</f>
        <v/>
      </c>
    </row>
    <row r="224">
      <c r="A224" s="31" t="n"/>
      <c r="B224" s="32" t="n"/>
      <c r="C224" s="32" t="n"/>
      <c r="D224" s="32" t="n"/>
      <c r="E224" s="32" t="n"/>
      <c r="F224" s="32" t="n"/>
      <c r="G224" s="32" t="n"/>
      <c r="H224" s="32" t="n"/>
      <c r="I224" s="32" t="n"/>
      <c r="J224" s="31" t="n"/>
      <c r="K224" s="32" t="n"/>
      <c r="L224" s="32" t="n"/>
      <c r="M224" s="31" t="n"/>
      <c r="N224" s="32" t="n"/>
      <c r="O224" s="32" t="n"/>
      <c r="P224" s="33">
        <f>IF(J224="","",TODAY()-J224)</f>
        <v/>
      </c>
      <c r="Q224" s="5">
        <f>IF(AND(M224&lt;&gt;"",M224&lt;TODAY(),ISNA(MATCH(H224,{"Won","Lost","Do not contact"},0))),"OVERDUE","")</f>
        <v/>
      </c>
    </row>
    <row r="225">
      <c r="A225" s="31" t="n"/>
      <c r="B225" s="32" t="n"/>
      <c r="C225" s="32" t="n"/>
      <c r="D225" s="32" t="n"/>
      <c r="E225" s="32" t="n"/>
      <c r="F225" s="32" t="n"/>
      <c r="G225" s="32" t="n"/>
      <c r="H225" s="32" t="n"/>
      <c r="I225" s="32" t="n"/>
      <c r="J225" s="31" t="n"/>
      <c r="K225" s="32" t="n"/>
      <c r="L225" s="32" t="n"/>
      <c r="M225" s="31" t="n"/>
      <c r="N225" s="32" t="n"/>
      <c r="O225" s="32" t="n"/>
      <c r="P225" s="33">
        <f>IF(J225="","",TODAY()-J225)</f>
        <v/>
      </c>
      <c r="Q225" s="5">
        <f>IF(AND(M225&lt;&gt;"",M225&lt;TODAY(),ISNA(MATCH(H225,{"Won","Lost","Do not contact"},0))),"OVERDUE","")</f>
        <v/>
      </c>
    </row>
    <row r="226">
      <c r="A226" s="31" t="n"/>
      <c r="B226" s="32" t="n"/>
      <c r="C226" s="32" t="n"/>
      <c r="D226" s="32" t="n"/>
      <c r="E226" s="32" t="n"/>
      <c r="F226" s="32" t="n"/>
      <c r="G226" s="32" t="n"/>
      <c r="H226" s="32" t="n"/>
      <c r="I226" s="32" t="n"/>
      <c r="J226" s="31" t="n"/>
      <c r="K226" s="32" t="n"/>
      <c r="L226" s="32" t="n"/>
      <c r="M226" s="31" t="n"/>
      <c r="N226" s="32" t="n"/>
      <c r="O226" s="32" t="n"/>
      <c r="P226" s="33">
        <f>IF(J226="","",TODAY()-J226)</f>
        <v/>
      </c>
      <c r="Q226" s="5">
        <f>IF(AND(M226&lt;&gt;"",M226&lt;TODAY(),ISNA(MATCH(H226,{"Won","Lost","Do not contact"},0))),"OVERDUE","")</f>
        <v/>
      </c>
    </row>
    <row r="227">
      <c r="A227" s="31" t="n"/>
      <c r="B227" s="32" t="n"/>
      <c r="C227" s="32" t="n"/>
      <c r="D227" s="32" t="n"/>
      <c r="E227" s="32" t="n"/>
      <c r="F227" s="32" t="n"/>
      <c r="G227" s="32" t="n"/>
      <c r="H227" s="32" t="n"/>
      <c r="I227" s="32" t="n"/>
      <c r="J227" s="31" t="n"/>
      <c r="K227" s="32" t="n"/>
      <c r="L227" s="32" t="n"/>
      <c r="M227" s="31" t="n"/>
      <c r="N227" s="32" t="n"/>
      <c r="O227" s="32" t="n"/>
      <c r="P227" s="33">
        <f>IF(J227="","",TODAY()-J227)</f>
        <v/>
      </c>
      <c r="Q227" s="5">
        <f>IF(AND(M227&lt;&gt;"",M227&lt;TODAY(),ISNA(MATCH(H227,{"Won","Lost","Do not contact"},0))),"OVERDUE","")</f>
        <v/>
      </c>
    </row>
    <row r="228">
      <c r="A228" s="31" t="n"/>
      <c r="B228" s="32" t="n"/>
      <c r="C228" s="32" t="n"/>
      <c r="D228" s="32" t="n"/>
      <c r="E228" s="32" t="n"/>
      <c r="F228" s="32" t="n"/>
      <c r="G228" s="32" t="n"/>
      <c r="H228" s="32" t="n"/>
      <c r="I228" s="32" t="n"/>
      <c r="J228" s="31" t="n"/>
      <c r="K228" s="32" t="n"/>
      <c r="L228" s="32" t="n"/>
      <c r="M228" s="31" t="n"/>
      <c r="N228" s="32" t="n"/>
      <c r="O228" s="32" t="n"/>
      <c r="P228" s="33">
        <f>IF(J228="","",TODAY()-J228)</f>
        <v/>
      </c>
      <c r="Q228" s="5">
        <f>IF(AND(M228&lt;&gt;"",M228&lt;TODAY(),ISNA(MATCH(H228,{"Won","Lost","Do not contact"},0))),"OVERDUE","")</f>
        <v/>
      </c>
    </row>
    <row r="229">
      <c r="A229" s="31" t="n"/>
      <c r="B229" s="32" t="n"/>
      <c r="C229" s="32" t="n"/>
      <c r="D229" s="32" t="n"/>
      <c r="E229" s="32" t="n"/>
      <c r="F229" s="32" t="n"/>
      <c r="G229" s="32" t="n"/>
      <c r="H229" s="32" t="n"/>
      <c r="I229" s="32" t="n"/>
      <c r="J229" s="31" t="n"/>
      <c r="K229" s="32" t="n"/>
      <c r="L229" s="32" t="n"/>
      <c r="M229" s="31" t="n"/>
      <c r="N229" s="32" t="n"/>
      <c r="O229" s="32" t="n"/>
      <c r="P229" s="33">
        <f>IF(J229="","",TODAY()-J229)</f>
        <v/>
      </c>
      <c r="Q229" s="5">
        <f>IF(AND(M229&lt;&gt;"",M229&lt;TODAY(),ISNA(MATCH(H229,{"Won","Lost","Do not contact"},0))),"OVERDUE","")</f>
        <v/>
      </c>
    </row>
    <row r="230">
      <c r="A230" s="31" t="n"/>
      <c r="B230" s="32" t="n"/>
      <c r="C230" s="32" t="n"/>
      <c r="D230" s="32" t="n"/>
      <c r="E230" s="32" t="n"/>
      <c r="F230" s="32" t="n"/>
      <c r="G230" s="32" t="n"/>
      <c r="H230" s="32" t="n"/>
      <c r="I230" s="32" t="n"/>
      <c r="J230" s="31" t="n"/>
      <c r="K230" s="32" t="n"/>
      <c r="L230" s="32" t="n"/>
      <c r="M230" s="31" t="n"/>
      <c r="N230" s="32" t="n"/>
      <c r="O230" s="32" t="n"/>
      <c r="P230" s="33">
        <f>IF(J230="","",TODAY()-J230)</f>
        <v/>
      </c>
      <c r="Q230" s="5">
        <f>IF(AND(M230&lt;&gt;"",M230&lt;TODAY(),ISNA(MATCH(H230,{"Won","Lost","Do not contact"},0))),"OVERDUE","")</f>
        <v/>
      </c>
    </row>
    <row r="231">
      <c r="A231" s="31" t="n"/>
      <c r="B231" s="32" t="n"/>
      <c r="C231" s="32" t="n"/>
      <c r="D231" s="32" t="n"/>
      <c r="E231" s="32" t="n"/>
      <c r="F231" s="32" t="n"/>
      <c r="G231" s="32" t="n"/>
      <c r="H231" s="32" t="n"/>
      <c r="I231" s="32" t="n"/>
      <c r="J231" s="31" t="n"/>
      <c r="K231" s="32" t="n"/>
      <c r="L231" s="32" t="n"/>
      <c r="M231" s="31" t="n"/>
      <c r="N231" s="32" t="n"/>
      <c r="O231" s="32" t="n"/>
      <c r="P231" s="33">
        <f>IF(J231="","",TODAY()-J231)</f>
        <v/>
      </c>
      <c r="Q231" s="5">
        <f>IF(AND(M231&lt;&gt;"",M231&lt;TODAY(),ISNA(MATCH(H231,{"Won","Lost","Do not contact"},0))),"OVERDUE","")</f>
        <v/>
      </c>
    </row>
    <row r="232">
      <c r="A232" s="31" t="n"/>
      <c r="B232" s="32" t="n"/>
      <c r="C232" s="32" t="n"/>
      <c r="D232" s="32" t="n"/>
      <c r="E232" s="32" t="n"/>
      <c r="F232" s="32" t="n"/>
      <c r="G232" s="32" t="n"/>
      <c r="H232" s="32" t="n"/>
      <c r="I232" s="32" t="n"/>
      <c r="J232" s="31" t="n"/>
      <c r="K232" s="32" t="n"/>
      <c r="L232" s="32" t="n"/>
      <c r="M232" s="31" t="n"/>
      <c r="N232" s="32" t="n"/>
      <c r="O232" s="32" t="n"/>
      <c r="P232" s="33">
        <f>IF(J232="","",TODAY()-J232)</f>
        <v/>
      </c>
      <c r="Q232" s="5">
        <f>IF(AND(M232&lt;&gt;"",M232&lt;TODAY(),ISNA(MATCH(H232,{"Won","Lost","Do not contact"},0))),"OVERDUE","")</f>
        <v/>
      </c>
    </row>
    <row r="233">
      <c r="A233" s="31" t="n"/>
      <c r="B233" s="32" t="n"/>
      <c r="C233" s="32" t="n"/>
      <c r="D233" s="32" t="n"/>
      <c r="E233" s="32" t="n"/>
      <c r="F233" s="32" t="n"/>
      <c r="G233" s="32" t="n"/>
      <c r="H233" s="32" t="n"/>
      <c r="I233" s="32" t="n"/>
      <c r="J233" s="31" t="n"/>
      <c r="K233" s="32" t="n"/>
      <c r="L233" s="32" t="n"/>
      <c r="M233" s="31" t="n"/>
      <c r="N233" s="32" t="n"/>
      <c r="O233" s="32" t="n"/>
      <c r="P233" s="33">
        <f>IF(J233="","",TODAY()-J233)</f>
        <v/>
      </c>
      <c r="Q233" s="5">
        <f>IF(AND(M233&lt;&gt;"",M233&lt;TODAY(),ISNA(MATCH(H233,{"Won","Lost","Do not contact"},0))),"OVERDUE","")</f>
        <v/>
      </c>
    </row>
    <row r="234">
      <c r="A234" s="31" t="n"/>
      <c r="B234" s="32" t="n"/>
      <c r="C234" s="32" t="n"/>
      <c r="D234" s="32" t="n"/>
      <c r="E234" s="32" t="n"/>
      <c r="F234" s="32" t="n"/>
      <c r="G234" s="32" t="n"/>
      <c r="H234" s="32" t="n"/>
      <c r="I234" s="32" t="n"/>
      <c r="J234" s="31" t="n"/>
      <c r="K234" s="32" t="n"/>
      <c r="L234" s="32" t="n"/>
      <c r="M234" s="31" t="n"/>
      <c r="N234" s="32" t="n"/>
      <c r="O234" s="32" t="n"/>
      <c r="P234" s="33">
        <f>IF(J234="","",TODAY()-J234)</f>
        <v/>
      </c>
      <c r="Q234" s="5">
        <f>IF(AND(M234&lt;&gt;"",M234&lt;TODAY(),ISNA(MATCH(H234,{"Won","Lost","Do not contact"},0))),"OVERDUE","")</f>
        <v/>
      </c>
    </row>
    <row r="235">
      <c r="A235" s="31" t="n"/>
      <c r="B235" s="32" t="n"/>
      <c r="C235" s="32" t="n"/>
      <c r="D235" s="32" t="n"/>
      <c r="E235" s="32" t="n"/>
      <c r="F235" s="32" t="n"/>
      <c r="G235" s="32" t="n"/>
      <c r="H235" s="32" t="n"/>
      <c r="I235" s="32" t="n"/>
      <c r="J235" s="31" t="n"/>
      <c r="K235" s="32" t="n"/>
      <c r="L235" s="32" t="n"/>
      <c r="M235" s="31" t="n"/>
      <c r="N235" s="32" t="n"/>
      <c r="O235" s="32" t="n"/>
      <c r="P235" s="33">
        <f>IF(J235="","",TODAY()-J235)</f>
        <v/>
      </c>
      <c r="Q235" s="5">
        <f>IF(AND(M235&lt;&gt;"",M235&lt;TODAY(),ISNA(MATCH(H235,{"Won","Lost","Do not contact"},0))),"OVERDUE","")</f>
        <v/>
      </c>
    </row>
    <row r="236">
      <c r="A236" s="31" t="n"/>
      <c r="B236" s="32" t="n"/>
      <c r="C236" s="32" t="n"/>
      <c r="D236" s="32" t="n"/>
      <c r="E236" s="32" t="n"/>
      <c r="F236" s="32" t="n"/>
      <c r="G236" s="32" t="n"/>
      <c r="H236" s="32" t="n"/>
      <c r="I236" s="32" t="n"/>
      <c r="J236" s="31" t="n"/>
      <c r="K236" s="32" t="n"/>
      <c r="L236" s="32" t="n"/>
      <c r="M236" s="31" t="n"/>
      <c r="N236" s="32" t="n"/>
      <c r="O236" s="32" t="n"/>
      <c r="P236" s="33">
        <f>IF(J236="","",TODAY()-J236)</f>
        <v/>
      </c>
      <c r="Q236" s="5">
        <f>IF(AND(M236&lt;&gt;"",M236&lt;TODAY(),ISNA(MATCH(H236,{"Won","Lost","Do not contact"},0))),"OVERDUE","")</f>
        <v/>
      </c>
    </row>
    <row r="237">
      <c r="A237" s="31" t="n"/>
      <c r="B237" s="32" t="n"/>
      <c r="C237" s="32" t="n"/>
      <c r="D237" s="32" t="n"/>
      <c r="E237" s="32" t="n"/>
      <c r="F237" s="32" t="n"/>
      <c r="G237" s="32" t="n"/>
      <c r="H237" s="32" t="n"/>
      <c r="I237" s="32" t="n"/>
      <c r="J237" s="31" t="n"/>
      <c r="K237" s="32" t="n"/>
      <c r="L237" s="32" t="n"/>
      <c r="M237" s="31" t="n"/>
      <c r="N237" s="32" t="n"/>
      <c r="O237" s="32" t="n"/>
      <c r="P237" s="33">
        <f>IF(J237="","",TODAY()-J237)</f>
        <v/>
      </c>
      <c r="Q237" s="5">
        <f>IF(AND(M237&lt;&gt;"",M237&lt;TODAY(),ISNA(MATCH(H237,{"Won","Lost","Do not contact"},0))),"OVERDUE","")</f>
        <v/>
      </c>
    </row>
    <row r="238">
      <c r="A238" s="31" t="n"/>
      <c r="B238" s="32" t="n"/>
      <c r="C238" s="32" t="n"/>
      <c r="D238" s="32" t="n"/>
      <c r="E238" s="32" t="n"/>
      <c r="F238" s="32" t="n"/>
      <c r="G238" s="32" t="n"/>
      <c r="H238" s="32" t="n"/>
      <c r="I238" s="32" t="n"/>
      <c r="J238" s="31" t="n"/>
      <c r="K238" s="32" t="n"/>
      <c r="L238" s="32" t="n"/>
      <c r="M238" s="31" t="n"/>
      <c r="N238" s="32" t="n"/>
      <c r="O238" s="32" t="n"/>
      <c r="P238" s="33">
        <f>IF(J238="","",TODAY()-J238)</f>
        <v/>
      </c>
      <c r="Q238" s="5">
        <f>IF(AND(M238&lt;&gt;"",M238&lt;TODAY(),ISNA(MATCH(H238,{"Won","Lost","Do not contact"},0))),"OVERDUE","")</f>
        <v/>
      </c>
    </row>
    <row r="239">
      <c r="A239" s="31" t="n"/>
      <c r="B239" s="32" t="n"/>
      <c r="C239" s="32" t="n"/>
      <c r="D239" s="32" t="n"/>
      <c r="E239" s="32" t="n"/>
      <c r="F239" s="32" t="n"/>
      <c r="G239" s="32" t="n"/>
      <c r="H239" s="32" t="n"/>
      <c r="I239" s="32" t="n"/>
      <c r="J239" s="31" t="n"/>
      <c r="K239" s="32" t="n"/>
      <c r="L239" s="32" t="n"/>
      <c r="M239" s="31" t="n"/>
      <c r="N239" s="32" t="n"/>
      <c r="O239" s="32" t="n"/>
      <c r="P239" s="33">
        <f>IF(J239="","",TODAY()-J239)</f>
        <v/>
      </c>
      <c r="Q239" s="5">
        <f>IF(AND(M239&lt;&gt;"",M239&lt;TODAY(),ISNA(MATCH(H239,{"Won","Lost","Do not contact"},0))),"OVERDUE","")</f>
        <v/>
      </c>
    </row>
    <row r="240">
      <c r="A240" s="31" t="n"/>
      <c r="B240" s="32" t="n"/>
      <c r="C240" s="32" t="n"/>
      <c r="D240" s="32" t="n"/>
      <c r="E240" s="32" t="n"/>
      <c r="F240" s="32" t="n"/>
      <c r="G240" s="32" t="n"/>
      <c r="H240" s="32" t="n"/>
      <c r="I240" s="32" t="n"/>
      <c r="J240" s="31" t="n"/>
      <c r="K240" s="32" t="n"/>
      <c r="L240" s="32" t="n"/>
      <c r="M240" s="31" t="n"/>
      <c r="N240" s="32" t="n"/>
      <c r="O240" s="32" t="n"/>
      <c r="P240" s="33">
        <f>IF(J240="","",TODAY()-J240)</f>
        <v/>
      </c>
      <c r="Q240" s="5">
        <f>IF(AND(M240&lt;&gt;"",M240&lt;TODAY(),ISNA(MATCH(H240,{"Won","Lost","Do not contact"},0))),"OVERDUE","")</f>
        <v/>
      </c>
    </row>
    <row r="241">
      <c r="A241" s="31" t="n"/>
      <c r="B241" s="32" t="n"/>
      <c r="C241" s="32" t="n"/>
      <c r="D241" s="32" t="n"/>
      <c r="E241" s="32" t="n"/>
      <c r="F241" s="32" t="n"/>
      <c r="G241" s="32" t="n"/>
      <c r="H241" s="32" t="n"/>
      <c r="I241" s="32" t="n"/>
      <c r="J241" s="31" t="n"/>
      <c r="K241" s="32" t="n"/>
      <c r="L241" s="32" t="n"/>
      <c r="M241" s="31" t="n"/>
      <c r="N241" s="32" t="n"/>
      <c r="O241" s="32" t="n"/>
      <c r="P241" s="33">
        <f>IF(J241="","",TODAY()-J241)</f>
        <v/>
      </c>
      <c r="Q241" s="5">
        <f>IF(AND(M241&lt;&gt;"",M241&lt;TODAY(),ISNA(MATCH(H241,{"Won","Lost","Do not contact"},0))),"OVERDUE","")</f>
        <v/>
      </c>
    </row>
    <row r="242">
      <c r="A242" s="31" t="n"/>
      <c r="B242" s="32" t="n"/>
      <c r="C242" s="32" t="n"/>
      <c r="D242" s="32" t="n"/>
      <c r="E242" s="32" t="n"/>
      <c r="F242" s="32" t="n"/>
      <c r="G242" s="32" t="n"/>
      <c r="H242" s="32" t="n"/>
      <c r="I242" s="32" t="n"/>
      <c r="J242" s="31" t="n"/>
      <c r="K242" s="32" t="n"/>
      <c r="L242" s="32" t="n"/>
      <c r="M242" s="31" t="n"/>
      <c r="N242" s="32" t="n"/>
      <c r="O242" s="32" t="n"/>
      <c r="P242" s="33">
        <f>IF(J242="","",TODAY()-J242)</f>
        <v/>
      </c>
      <c r="Q242" s="5">
        <f>IF(AND(M242&lt;&gt;"",M242&lt;TODAY(),ISNA(MATCH(H242,{"Won","Lost","Do not contact"},0))),"OVERDUE","")</f>
        <v/>
      </c>
    </row>
    <row r="243">
      <c r="A243" s="31" t="n"/>
      <c r="B243" s="32" t="n"/>
      <c r="C243" s="32" t="n"/>
      <c r="D243" s="32" t="n"/>
      <c r="E243" s="32" t="n"/>
      <c r="F243" s="32" t="n"/>
      <c r="G243" s="32" t="n"/>
      <c r="H243" s="32" t="n"/>
      <c r="I243" s="32" t="n"/>
      <c r="J243" s="31" t="n"/>
      <c r="K243" s="32" t="n"/>
      <c r="L243" s="32" t="n"/>
      <c r="M243" s="31" t="n"/>
      <c r="N243" s="32" t="n"/>
      <c r="O243" s="32" t="n"/>
      <c r="P243" s="33">
        <f>IF(J243="","",TODAY()-J243)</f>
        <v/>
      </c>
      <c r="Q243" s="5">
        <f>IF(AND(M243&lt;&gt;"",M243&lt;TODAY(),ISNA(MATCH(H243,{"Won","Lost","Do not contact"},0))),"OVERDUE","")</f>
        <v/>
      </c>
    </row>
    <row r="244">
      <c r="A244" s="31" t="n"/>
      <c r="B244" s="32" t="n"/>
      <c r="C244" s="32" t="n"/>
      <c r="D244" s="32" t="n"/>
      <c r="E244" s="32" t="n"/>
      <c r="F244" s="32" t="n"/>
      <c r="G244" s="32" t="n"/>
      <c r="H244" s="32" t="n"/>
      <c r="I244" s="32" t="n"/>
      <c r="J244" s="31" t="n"/>
      <c r="K244" s="32" t="n"/>
      <c r="L244" s="32" t="n"/>
      <c r="M244" s="31" t="n"/>
      <c r="N244" s="32" t="n"/>
      <c r="O244" s="32" t="n"/>
      <c r="P244" s="33">
        <f>IF(J244="","",TODAY()-J244)</f>
        <v/>
      </c>
      <c r="Q244" s="5">
        <f>IF(AND(M244&lt;&gt;"",M244&lt;TODAY(),ISNA(MATCH(H244,{"Won","Lost","Do not contact"},0))),"OVERDUE","")</f>
        <v/>
      </c>
    </row>
    <row r="245">
      <c r="A245" s="31" t="n"/>
      <c r="B245" s="32" t="n"/>
      <c r="C245" s="32" t="n"/>
      <c r="D245" s="32" t="n"/>
      <c r="E245" s="32" t="n"/>
      <c r="F245" s="32" t="n"/>
      <c r="G245" s="32" t="n"/>
      <c r="H245" s="32" t="n"/>
      <c r="I245" s="32" t="n"/>
      <c r="J245" s="31" t="n"/>
      <c r="K245" s="32" t="n"/>
      <c r="L245" s="32" t="n"/>
      <c r="M245" s="31" t="n"/>
      <c r="N245" s="32" t="n"/>
      <c r="O245" s="32" t="n"/>
      <c r="P245" s="33">
        <f>IF(J245="","",TODAY()-J245)</f>
        <v/>
      </c>
      <c r="Q245" s="5">
        <f>IF(AND(M245&lt;&gt;"",M245&lt;TODAY(),ISNA(MATCH(H245,{"Won","Lost","Do not contact"},0))),"OVERDUE","")</f>
        <v/>
      </c>
    </row>
    <row r="246">
      <c r="A246" s="31" t="n"/>
      <c r="B246" s="32" t="n"/>
      <c r="C246" s="32" t="n"/>
      <c r="D246" s="32" t="n"/>
      <c r="E246" s="32" t="n"/>
      <c r="F246" s="32" t="n"/>
      <c r="G246" s="32" t="n"/>
      <c r="H246" s="32" t="n"/>
      <c r="I246" s="32" t="n"/>
      <c r="J246" s="31" t="n"/>
      <c r="K246" s="32" t="n"/>
      <c r="L246" s="32" t="n"/>
      <c r="M246" s="31" t="n"/>
      <c r="N246" s="32" t="n"/>
      <c r="O246" s="32" t="n"/>
      <c r="P246" s="33">
        <f>IF(J246="","",TODAY()-J246)</f>
        <v/>
      </c>
      <c r="Q246" s="5">
        <f>IF(AND(M246&lt;&gt;"",M246&lt;TODAY(),ISNA(MATCH(H246,{"Won","Lost","Do not contact"},0))),"OVERDUE","")</f>
        <v/>
      </c>
    </row>
    <row r="247">
      <c r="A247" s="31" t="n"/>
      <c r="B247" s="32" t="n"/>
      <c r="C247" s="32" t="n"/>
      <c r="D247" s="32" t="n"/>
      <c r="E247" s="32" t="n"/>
      <c r="F247" s="32" t="n"/>
      <c r="G247" s="32" t="n"/>
      <c r="H247" s="32" t="n"/>
      <c r="I247" s="32" t="n"/>
      <c r="J247" s="31" t="n"/>
      <c r="K247" s="32" t="n"/>
      <c r="L247" s="32" t="n"/>
      <c r="M247" s="31" t="n"/>
      <c r="N247" s="32" t="n"/>
      <c r="O247" s="32" t="n"/>
      <c r="P247" s="33">
        <f>IF(J247="","",TODAY()-J247)</f>
        <v/>
      </c>
      <c r="Q247" s="5">
        <f>IF(AND(M247&lt;&gt;"",M247&lt;TODAY(),ISNA(MATCH(H247,{"Won","Lost","Do not contact"},0))),"OVERDUE","")</f>
        <v/>
      </c>
    </row>
    <row r="248">
      <c r="A248" s="31" t="n"/>
      <c r="B248" s="32" t="n"/>
      <c r="C248" s="32" t="n"/>
      <c r="D248" s="32" t="n"/>
      <c r="E248" s="32" t="n"/>
      <c r="F248" s="32" t="n"/>
      <c r="G248" s="32" t="n"/>
      <c r="H248" s="32" t="n"/>
      <c r="I248" s="32" t="n"/>
      <c r="J248" s="31" t="n"/>
      <c r="K248" s="32" t="n"/>
      <c r="L248" s="32" t="n"/>
      <c r="M248" s="31" t="n"/>
      <c r="N248" s="32" t="n"/>
      <c r="O248" s="32" t="n"/>
      <c r="P248" s="33">
        <f>IF(J248="","",TODAY()-J248)</f>
        <v/>
      </c>
      <c r="Q248" s="5">
        <f>IF(AND(M248&lt;&gt;"",M248&lt;TODAY(),ISNA(MATCH(H248,{"Won","Lost","Do not contact"},0))),"OVERDUE","")</f>
        <v/>
      </c>
    </row>
    <row r="249">
      <c r="A249" s="31" t="n"/>
      <c r="B249" s="32" t="n"/>
      <c r="C249" s="32" t="n"/>
      <c r="D249" s="32" t="n"/>
      <c r="E249" s="32" t="n"/>
      <c r="F249" s="32" t="n"/>
      <c r="G249" s="32" t="n"/>
      <c r="H249" s="32" t="n"/>
      <c r="I249" s="32" t="n"/>
      <c r="J249" s="31" t="n"/>
      <c r="K249" s="32" t="n"/>
      <c r="L249" s="32" t="n"/>
      <c r="M249" s="31" t="n"/>
      <c r="N249" s="32" t="n"/>
      <c r="O249" s="32" t="n"/>
      <c r="P249" s="33">
        <f>IF(J249="","",TODAY()-J249)</f>
        <v/>
      </c>
      <c r="Q249" s="5">
        <f>IF(AND(M249&lt;&gt;"",M249&lt;TODAY(),ISNA(MATCH(H249,{"Won","Lost","Do not contact"},0))),"OVERDUE","")</f>
        <v/>
      </c>
    </row>
    <row r="250">
      <c r="A250" s="31" t="n"/>
      <c r="B250" s="32" t="n"/>
      <c r="C250" s="32" t="n"/>
      <c r="D250" s="32" t="n"/>
      <c r="E250" s="32" t="n"/>
      <c r="F250" s="32" t="n"/>
      <c r="G250" s="32" t="n"/>
      <c r="H250" s="32" t="n"/>
      <c r="I250" s="32" t="n"/>
      <c r="J250" s="31" t="n"/>
      <c r="K250" s="32" t="n"/>
      <c r="L250" s="32" t="n"/>
      <c r="M250" s="31" t="n"/>
      <c r="N250" s="32" t="n"/>
      <c r="O250" s="32" t="n"/>
      <c r="P250" s="33">
        <f>IF(J250="","",TODAY()-J250)</f>
        <v/>
      </c>
      <c r="Q250" s="5">
        <f>IF(AND(M250&lt;&gt;"",M250&lt;TODAY(),ISNA(MATCH(H250,{"Won","Lost","Do not contact"},0))),"OVERDUE","")</f>
        <v/>
      </c>
    </row>
    <row r="251">
      <c r="A251" s="31" t="n"/>
      <c r="B251" s="32" t="n"/>
      <c r="C251" s="32" t="n"/>
      <c r="D251" s="32" t="n"/>
      <c r="E251" s="32" t="n"/>
      <c r="F251" s="32" t="n"/>
      <c r="G251" s="32" t="n"/>
      <c r="H251" s="32" t="n"/>
      <c r="I251" s="32" t="n"/>
      <c r="J251" s="31" t="n"/>
      <c r="K251" s="32" t="n"/>
      <c r="L251" s="32" t="n"/>
      <c r="M251" s="31" t="n"/>
      <c r="N251" s="32" t="n"/>
      <c r="O251" s="32" t="n"/>
      <c r="P251" s="33">
        <f>IF(J251="","",TODAY()-J251)</f>
        <v/>
      </c>
      <c r="Q251" s="5">
        <f>IF(AND(M251&lt;&gt;"",M251&lt;TODAY(),ISNA(MATCH(H251,{"Won","Lost","Do not contact"},0))),"OVERDUE","")</f>
        <v/>
      </c>
    </row>
    <row r="252">
      <c r="A252" s="31" t="n"/>
      <c r="B252" s="32" t="n"/>
      <c r="C252" s="32" t="n"/>
      <c r="D252" s="32" t="n"/>
      <c r="E252" s="32" t="n"/>
      <c r="F252" s="32" t="n"/>
      <c r="G252" s="32" t="n"/>
      <c r="H252" s="32" t="n"/>
      <c r="I252" s="32" t="n"/>
      <c r="J252" s="31" t="n"/>
      <c r="K252" s="32" t="n"/>
      <c r="L252" s="32" t="n"/>
      <c r="M252" s="31" t="n"/>
      <c r="N252" s="32" t="n"/>
      <c r="O252" s="32" t="n"/>
      <c r="P252" s="33">
        <f>IF(J252="","",TODAY()-J252)</f>
        <v/>
      </c>
      <c r="Q252" s="5">
        <f>IF(AND(M252&lt;&gt;"",M252&lt;TODAY(),ISNA(MATCH(H252,{"Won","Lost","Do not contact"},0))),"OVERDUE","")</f>
        <v/>
      </c>
    </row>
    <row r="253">
      <c r="A253" s="31" t="n"/>
      <c r="B253" s="32" t="n"/>
      <c r="C253" s="32" t="n"/>
      <c r="D253" s="32" t="n"/>
      <c r="E253" s="32" t="n"/>
      <c r="F253" s="32" t="n"/>
      <c r="G253" s="32" t="n"/>
      <c r="H253" s="32" t="n"/>
      <c r="I253" s="32" t="n"/>
      <c r="J253" s="31" t="n"/>
      <c r="K253" s="32" t="n"/>
      <c r="L253" s="32" t="n"/>
      <c r="M253" s="31" t="n"/>
      <c r="N253" s="32" t="n"/>
      <c r="O253" s="32" t="n"/>
      <c r="P253" s="33">
        <f>IF(J253="","",TODAY()-J253)</f>
        <v/>
      </c>
      <c r="Q253" s="5">
        <f>IF(AND(M253&lt;&gt;"",M253&lt;TODAY(),ISNA(MATCH(H253,{"Won","Lost","Do not contact"},0))),"OVERDUE","")</f>
        <v/>
      </c>
    </row>
    <row r="254">
      <c r="A254" s="31" t="n"/>
      <c r="B254" s="32" t="n"/>
      <c r="C254" s="32" t="n"/>
      <c r="D254" s="32" t="n"/>
      <c r="E254" s="32" t="n"/>
      <c r="F254" s="32" t="n"/>
      <c r="G254" s="32" t="n"/>
      <c r="H254" s="32" t="n"/>
      <c r="I254" s="32" t="n"/>
      <c r="J254" s="31" t="n"/>
      <c r="K254" s="32" t="n"/>
      <c r="L254" s="32" t="n"/>
      <c r="M254" s="31" t="n"/>
      <c r="N254" s="32" t="n"/>
      <c r="O254" s="32" t="n"/>
      <c r="P254" s="33">
        <f>IF(J254="","",TODAY()-J254)</f>
        <v/>
      </c>
      <c r="Q254" s="5">
        <f>IF(AND(M254&lt;&gt;"",M254&lt;TODAY(),ISNA(MATCH(H254,{"Won","Lost","Do not contact"},0))),"OVERDUE","")</f>
        <v/>
      </c>
    </row>
    <row r="255">
      <c r="A255" s="31" t="n"/>
      <c r="B255" s="32" t="n"/>
      <c r="C255" s="32" t="n"/>
      <c r="D255" s="32" t="n"/>
      <c r="E255" s="32" t="n"/>
      <c r="F255" s="32" t="n"/>
      <c r="G255" s="32" t="n"/>
      <c r="H255" s="32" t="n"/>
      <c r="I255" s="32" t="n"/>
      <c r="J255" s="31" t="n"/>
      <c r="K255" s="32" t="n"/>
      <c r="L255" s="32" t="n"/>
      <c r="M255" s="31" t="n"/>
      <c r="N255" s="32" t="n"/>
      <c r="O255" s="32" t="n"/>
      <c r="P255" s="33">
        <f>IF(J255="","",TODAY()-J255)</f>
        <v/>
      </c>
      <c r="Q255" s="5">
        <f>IF(AND(M255&lt;&gt;"",M255&lt;TODAY(),ISNA(MATCH(H255,{"Won","Lost","Do not contact"},0))),"OVERDUE","")</f>
        <v/>
      </c>
    </row>
    <row r="256">
      <c r="A256" s="31" t="n"/>
      <c r="B256" s="32" t="n"/>
      <c r="C256" s="32" t="n"/>
      <c r="D256" s="32" t="n"/>
      <c r="E256" s="32" t="n"/>
      <c r="F256" s="32" t="n"/>
      <c r="G256" s="32" t="n"/>
      <c r="H256" s="32" t="n"/>
      <c r="I256" s="32" t="n"/>
      <c r="J256" s="31" t="n"/>
      <c r="K256" s="32" t="n"/>
      <c r="L256" s="32" t="n"/>
      <c r="M256" s="31" t="n"/>
      <c r="N256" s="32" t="n"/>
      <c r="O256" s="32" t="n"/>
      <c r="P256" s="33">
        <f>IF(J256="","",TODAY()-J256)</f>
        <v/>
      </c>
      <c r="Q256" s="5">
        <f>IF(AND(M256&lt;&gt;"",M256&lt;TODAY(),ISNA(MATCH(H256,{"Won","Lost","Do not contact"},0))),"OVERDUE","")</f>
        <v/>
      </c>
    </row>
    <row r="257">
      <c r="A257" s="31" t="n"/>
      <c r="B257" s="32" t="n"/>
      <c r="C257" s="32" t="n"/>
      <c r="D257" s="32" t="n"/>
      <c r="E257" s="32" t="n"/>
      <c r="F257" s="32" t="n"/>
      <c r="G257" s="32" t="n"/>
      <c r="H257" s="32" t="n"/>
      <c r="I257" s="32" t="n"/>
      <c r="J257" s="31" t="n"/>
      <c r="K257" s="32" t="n"/>
      <c r="L257" s="32" t="n"/>
      <c r="M257" s="31" t="n"/>
      <c r="N257" s="32" t="n"/>
      <c r="O257" s="32" t="n"/>
      <c r="P257" s="33">
        <f>IF(J257="","",TODAY()-J257)</f>
        <v/>
      </c>
      <c r="Q257" s="5">
        <f>IF(AND(M257&lt;&gt;"",M257&lt;TODAY(),ISNA(MATCH(H257,{"Won","Lost","Do not contact"},0))),"OVERDUE","")</f>
        <v/>
      </c>
    </row>
    <row r="258">
      <c r="A258" s="31" t="n"/>
      <c r="B258" s="32" t="n"/>
      <c r="C258" s="32" t="n"/>
      <c r="D258" s="32" t="n"/>
      <c r="E258" s="32" t="n"/>
      <c r="F258" s="32" t="n"/>
      <c r="G258" s="32" t="n"/>
      <c r="H258" s="32" t="n"/>
      <c r="I258" s="32" t="n"/>
      <c r="J258" s="31" t="n"/>
      <c r="K258" s="32" t="n"/>
      <c r="L258" s="32" t="n"/>
      <c r="M258" s="31" t="n"/>
      <c r="N258" s="32" t="n"/>
      <c r="O258" s="32" t="n"/>
      <c r="P258" s="33">
        <f>IF(J258="","",TODAY()-J258)</f>
        <v/>
      </c>
      <c r="Q258" s="5">
        <f>IF(AND(M258&lt;&gt;"",M258&lt;TODAY(),ISNA(MATCH(H258,{"Won","Lost","Do not contact"},0))),"OVERDUE","")</f>
        <v/>
      </c>
    </row>
    <row r="259">
      <c r="A259" s="31" t="n"/>
      <c r="B259" s="32" t="n"/>
      <c r="C259" s="32" t="n"/>
      <c r="D259" s="32" t="n"/>
      <c r="E259" s="32" t="n"/>
      <c r="F259" s="32" t="n"/>
      <c r="G259" s="32" t="n"/>
      <c r="H259" s="32" t="n"/>
      <c r="I259" s="32" t="n"/>
      <c r="J259" s="31" t="n"/>
      <c r="K259" s="32" t="n"/>
      <c r="L259" s="32" t="n"/>
      <c r="M259" s="31" t="n"/>
      <c r="N259" s="32" t="n"/>
      <c r="O259" s="32" t="n"/>
      <c r="P259" s="33">
        <f>IF(J259="","",TODAY()-J259)</f>
        <v/>
      </c>
      <c r="Q259" s="5">
        <f>IF(AND(M259&lt;&gt;"",M259&lt;TODAY(),ISNA(MATCH(H259,{"Won","Lost","Do not contact"},0))),"OVERDUE","")</f>
        <v/>
      </c>
    </row>
    <row r="260">
      <c r="A260" s="31" t="n"/>
      <c r="B260" s="32" t="n"/>
      <c r="C260" s="32" t="n"/>
      <c r="D260" s="32" t="n"/>
      <c r="E260" s="32" t="n"/>
      <c r="F260" s="32" t="n"/>
      <c r="G260" s="32" t="n"/>
      <c r="H260" s="32" t="n"/>
      <c r="I260" s="32" t="n"/>
      <c r="J260" s="31" t="n"/>
      <c r="K260" s="32" t="n"/>
      <c r="L260" s="32" t="n"/>
      <c r="M260" s="31" t="n"/>
      <c r="N260" s="32" t="n"/>
      <c r="O260" s="32" t="n"/>
      <c r="P260" s="33">
        <f>IF(J260="","",TODAY()-J260)</f>
        <v/>
      </c>
      <c r="Q260" s="5">
        <f>IF(AND(M260&lt;&gt;"",M260&lt;TODAY(),ISNA(MATCH(H260,{"Won","Lost","Do not contact"},0))),"OVERDUE","")</f>
        <v/>
      </c>
    </row>
    <row r="261">
      <c r="A261" s="31" t="n"/>
      <c r="B261" s="32" t="n"/>
      <c r="C261" s="32" t="n"/>
      <c r="D261" s="32" t="n"/>
      <c r="E261" s="32" t="n"/>
      <c r="F261" s="32" t="n"/>
      <c r="G261" s="32" t="n"/>
      <c r="H261" s="32" t="n"/>
      <c r="I261" s="32" t="n"/>
      <c r="J261" s="31" t="n"/>
      <c r="K261" s="32" t="n"/>
      <c r="L261" s="32" t="n"/>
      <c r="M261" s="31" t="n"/>
      <c r="N261" s="32" t="n"/>
      <c r="O261" s="32" t="n"/>
      <c r="P261" s="33">
        <f>IF(J261="","",TODAY()-J261)</f>
        <v/>
      </c>
      <c r="Q261" s="5">
        <f>IF(AND(M261&lt;&gt;"",M261&lt;TODAY(),ISNA(MATCH(H261,{"Won","Lost","Do not contact"},0))),"OVERDUE","")</f>
        <v/>
      </c>
    </row>
    <row r="262">
      <c r="A262" s="31" t="n"/>
      <c r="B262" s="32" t="n"/>
      <c r="C262" s="32" t="n"/>
      <c r="D262" s="32" t="n"/>
      <c r="E262" s="32" t="n"/>
      <c r="F262" s="32" t="n"/>
      <c r="G262" s="32" t="n"/>
      <c r="H262" s="32" t="n"/>
      <c r="I262" s="32" t="n"/>
      <c r="J262" s="31" t="n"/>
      <c r="K262" s="32" t="n"/>
      <c r="L262" s="32" t="n"/>
      <c r="M262" s="31" t="n"/>
      <c r="N262" s="32" t="n"/>
      <c r="O262" s="32" t="n"/>
      <c r="P262" s="33">
        <f>IF(J262="","",TODAY()-J262)</f>
        <v/>
      </c>
      <c r="Q262" s="5">
        <f>IF(AND(M262&lt;&gt;"",M262&lt;TODAY(),ISNA(MATCH(H262,{"Won","Lost","Do not contact"},0))),"OVERDUE","")</f>
        <v/>
      </c>
    </row>
    <row r="263">
      <c r="A263" s="31" t="n"/>
      <c r="B263" s="32" t="n"/>
      <c r="C263" s="32" t="n"/>
      <c r="D263" s="32" t="n"/>
      <c r="E263" s="32" t="n"/>
      <c r="F263" s="32" t="n"/>
      <c r="G263" s="32" t="n"/>
      <c r="H263" s="32" t="n"/>
      <c r="I263" s="32" t="n"/>
      <c r="J263" s="31" t="n"/>
      <c r="K263" s="32" t="n"/>
      <c r="L263" s="32" t="n"/>
      <c r="M263" s="31" t="n"/>
      <c r="N263" s="32" t="n"/>
      <c r="O263" s="32" t="n"/>
      <c r="P263" s="33">
        <f>IF(J263="","",TODAY()-J263)</f>
        <v/>
      </c>
      <c r="Q263" s="5">
        <f>IF(AND(M263&lt;&gt;"",M263&lt;TODAY(),ISNA(MATCH(H263,{"Won","Lost","Do not contact"},0))),"OVERDUE","")</f>
        <v/>
      </c>
    </row>
    <row r="264">
      <c r="A264" s="31" t="n"/>
      <c r="B264" s="32" t="n"/>
      <c r="C264" s="32" t="n"/>
      <c r="D264" s="32" t="n"/>
      <c r="E264" s="32" t="n"/>
      <c r="F264" s="32" t="n"/>
      <c r="G264" s="32" t="n"/>
      <c r="H264" s="32" t="n"/>
      <c r="I264" s="32" t="n"/>
      <c r="J264" s="31" t="n"/>
      <c r="K264" s="32" t="n"/>
      <c r="L264" s="32" t="n"/>
      <c r="M264" s="31" t="n"/>
      <c r="N264" s="32" t="n"/>
      <c r="O264" s="32" t="n"/>
      <c r="P264" s="33">
        <f>IF(J264="","",TODAY()-J264)</f>
        <v/>
      </c>
      <c r="Q264" s="5">
        <f>IF(AND(M264&lt;&gt;"",M264&lt;TODAY(),ISNA(MATCH(H264,{"Won","Lost","Do not contact"},0))),"OVERDUE","")</f>
        <v/>
      </c>
    </row>
    <row r="265">
      <c r="A265" s="31" t="n"/>
      <c r="B265" s="32" t="n"/>
      <c r="C265" s="32" t="n"/>
      <c r="D265" s="32" t="n"/>
      <c r="E265" s="32" t="n"/>
      <c r="F265" s="32" t="n"/>
      <c r="G265" s="32" t="n"/>
      <c r="H265" s="32" t="n"/>
      <c r="I265" s="32" t="n"/>
      <c r="J265" s="31" t="n"/>
      <c r="K265" s="32" t="n"/>
      <c r="L265" s="32" t="n"/>
      <c r="M265" s="31" t="n"/>
      <c r="N265" s="32" t="n"/>
      <c r="O265" s="32" t="n"/>
      <c r="P265" s="33">
        <f>IF(J265="","",TODAY()-J265)</f>
        <v/>
      </c>
      <c r="Q265" s="5">
        <f>IF(AND(M265&lt;&gt;"",M265&lt;TODAY(),ISNA(MATCH(H265,{"Won","Lost","Do not contact"},0))),"OVERDUE","")</f>
        <v/>
      </c>
    </row>
    <row r="266">
      <c r="A266" s="31" t="n"/>
      <c r="B266" s="32" t="n"/>
      <c r="C266" s="32" t="n"/>
      <c r="D266" s="32" t="n"/>
      <c r="E266" s="32" t="n"/>
      <c r="F266" s="32" t="n"/>
      <c r="G266" s="32" t="n"/>
      <c r="H266" s="32" t="n"/>
      <c r="I266" s="32" t="n"/>
      <c r="J266" s="31" t="n"/>
      <c r="K266" s="32" t="n"/>
      <c r="L266" s="32" t="n"/>
      <c r="M266" s="31" t="n"/>
      <c r="N266" s="32" t="n"/>
      <c r="O266" s="32" t="n"/>
      <c r="P266" s="33">
        <f>IF(J266="","",TODAY()-J266)</f>
        <v/>
      </c>
      <c r="Q266" s="5">
        <f>IF(AND(M266&lt;&gt;"",M266&lt;TODAY(),ISNA(MATCH(H266,{"Won","Lost","Do not contact"},0))),"OVERDUE","")</f>
        <v/>
      </c>
    </row>
    <row r="267">
      <c r="A267" s="31" t="n"/>
      <c r="B267" s="32" t="n"/>
      <c r="C267" s="32" t="n"/>
      <c r="D267" s="32" t="n"/>
      <c r="E267" s="32" t="n"/>
      <c r="F267" s="32" t="n"/>
      <c r="G267" s="32" t="n"/>
      <c r="H267" s="32" t="n"/>
      <c r="I267" s="32" t="n"/>
      <c r="J267" s="31" t="n"/>
      <c r="K267" s="32" t="n"/>
      <c r="L267" s="32" t="n"/>
      <c r="M267" s="31" t="n"/>
      <c r="N267" s="32" t="n"/>
      <c r="O267" s="32" t="n"/>
      <c r="P267" s="33">
        <f>IF(J267="","",TODAY()-J267)</f>
        <v/>
      </c>
      <c r="Q267" s="5">
        <f>IF(AND(M267&lt;&gt;"",M267&lt;TODAY(),ISNA(MATCH(H267,{"Won","Lost","Do not contact"},0))),"OVERDUE","")</f>
        <v/>
      </c>
    </row>
    <row r="268">
      <c r="A268" s="31" t="n"/>
      <c r="B268" s="32" t="n"/>
      <c r="C268" s="32" t="n"/>
      <c r="D268" s="32" t="n"/>
      <c r="E268" s="32" t="n"/>
      <c r="F268" s="32" t="n"/>
      <c r="G268" s="32" t="n"/>
      <c r="H268" s="32" t="n"/>
      <c r="I268" s="32" t="n"/>
      <c r="J268" s="31" t="n"/>
      <c r="K268" s="32" t="n"/>
      <c r="L268" s="32" t="n"/>
      <c r="M268" s="31" t="n"/>
      <c r="N268" s="32" t="n"/>
      <c r="O268" s="32" t="n"/>
      <c r="P268" s="33">
        <f>IF(J268="","",TODAY()-J268)</f>
        <v/>
      </c>
      <c r="Q268" s="5">
        <f>IF(AND(M268&lt;&gt;"",M268&lt;TODAY(),ISNA(MATCH(H268,{"Won","Lost","Do not contact"},0))),"OVERDUE","")</f>
        <v/>
      </c>
    </row>
    <row r="269">
      <c r="A269" s="31" t="n"/>
      <c r="B269" s="32" t="n"/>
      <c r="C269" s="32" t="n"/>
      <c r="D269" s="32" t="n"/>
      <c r="E269" s="32" t="n"/>
      <c r="F269" s="32" t="n"/>
      <c r="G269" s="32" t="n"/>
      <c r="H269" s="32" t="n"/>
      <c r="I269" s="32" t="n"/>
      <c r="J269" s="31" t="n"/>
      <c r="K269" s="32" t="n"/>
      <c r="L269" s="32" t="n"/>
      <c r="M269" s="31" t="n"/>
      <c r="N269" s="32" t="n"/>
      <c r="O269" s="32" t="n"/>
      <c r="P269" s="33">
        <f>IF(J269="","",TODAY()-J269)</f>
        <v/>
      </c>
      <c r="Q269" s="5">
        <f>IF(AND(M269&lt;&gt;"",M269&lt;TODAY(),ISNA(MATCH(H269,{"Won","Lost","Do not contact"},0))),"OVERDUE","")</f>
        <v/>
      </c>
    </row>
    <row r="270">
      <c r="A270" s="31" t="n"/>
      <c r="B270" s="32" t="n"/>
      <c r="C270" s="32" t="n"/>
      <c r="D270" s="32" t="n"/>
      <c r="E270" s="32" t="n"/>
      <c r="F270" s="32" t="n"/>
      <c r="G270" s="32" t="n"/>
      <c r="H270" s="32" t="n"/>
      <c r="I270" s="32" t="n"/>
      <c r="J270" s="31" t="n"/>
      <c r="K270" s="32" t="n"/>
      <c r="L270" s="32" t="n"/>
      <c r="M270" s="31" t="n"/>
      <c r="N270" s="32" t="n"/>
      <c r="O270" s="32" t="n"/>
      <c r="P270" s="33">
        <f>IF(J270="","",TODAY()-J270)</f>
        <v/>
      </c>
      <c r="Q270" s="5">
        <f>IF(AND(M270&lt;&gt;"",M270&lt;TODAY(),ISNA(MATCH(H270,{"Won","Lost","Do not contact"},0))),"OVERDUE","")</f>
        <v/>
      </c>
    </row>
    <row r="271">
      <c r="A271" s="31" t="n"/>
      <c r="B271" s="32" t="n"/>
      <c r="C271" s="32" t="n"/>
      <c r="D271" s="32" t="n"/>
      <c r="E271" s="32" t="n"/>
      <c r="F271" s="32" t="n"/>
      <c r="G271" s="32" t="n"/>
      <c r="H271" s="32" t="n"/>
      <c r="I271" s="32" t="n"/>
      <c r="J271" s="31" t="n"/>
      <c r="K271" s="32" t="n"/>
      <c r="L271" s="32" t="n"/>
      <c r="M271" s="31" t="n"/>
      <c r="N271" s="32" t="n"/>
      <c r="O271" s="32" t="n"/>
      <c r="P271" s="33">
        <f>IF(J271="","",TODAY()-J271)</f>
        <v/>
      </c>
      <c r="Q271" s="5">
        <f>IF(AND(M271&lt;&gt;"",M271&lt;TODAY(),ISNA(MATCH(H271,{"Won","Lost","Do not contact"},0))),"OVERDUE","")</f>
        <v/>
      </c>
    </row>
    <row r="272">
      <c r="A272" s="31" t="n"/>
      <c r="B272" s="32" t="n"/>
      <c r="C272" s="32" t="n"/>
      <c r="D272" s="32" t="n"/>
      <c r="E272" s="32" t="n"/>
      <c r="F272" s="32" t="n"/>
      <c r="G272" s="32" t="n"/>
      <c r="H272" s="32" t="n"/>
      <c r="I272" s="32" t="n"/>
      <c r="J272" s="31" t="n"/>
      <c r="K272" s="32" t="n"/>
      <c r="L272" s="32" t="n"/>
      <c r="M272" s="31" t="n"/>
      <c r="N272" s="32" t="n"/>
      <c r="O272" s="32" t="n"/>
      <c r="P272" s="33">
        <f>IF(J272="","",TODAY()-J272)</f>
        <v/>
      </c>
      <c r="Q272" s="5">
        <f>IF(AND(M272&lt;&gt;"",M272&lt;TODAY(),ISNA(MATCH(H272,{"Won","Lost","Do not contact"},0))),"OVERDUE","")</f>
        <v/>
      </c>
    </row>
    <row r="273">
      <c r="A273" s="31" t="n"/>
      <c r="B273" s="32" t="n"/>
      <c r="C273" s="32" t="n"/>
      <c r="D273" s="32" t="n"/>
      <c r="E273" s="32" t="n"/>
      <c r="F273" s="32" t="n"/>
      <c r="G273" s="32" t="n"/>
      <c r="H273" s="32" t="n"/>
      <c r="I273" s="32" t="n"/>
      <c r="J273" s="31" t="n"/>
      <c r="K273" s="32" t="n"/>
      <c r="L273" s="32" t="n"/>
      <c r="M273" s="31" t="n"/>
      <c r="N273" s="32" t="n"/>
      <c r="O273" s="32" t="n"/>
      <c r="P273" s="33">
        <f>IF(J273="","",TODAY()-J273)</f>
        <v/>
      </c>
      <c r="Q273" s="5">
        <f>IF(AND(M273&lt;&gt;"",M273&lt;TODAY(),ISNA(MATCH(H273,{"Won","Lost","Do not contact"},0))),"OVERDUE","")</f>
        <v/>
      </c>
    </row>
    <row r="274">
      <c r="A274" s="31" t="n"/>
      <c r="B274" s="32" t="n"/>
      <c r="C274" s="32" t="n"/>
      <c r="D274" s="32" t="n"/>
      <c r="E274" s="32" t="n"/>
      <c r="F274" s="32" t="n"/>
      <c r="G274" s="32" t="n"/>
      <c r="H274" s="32" t="n"/>
      <c r="I274" s="32" t="n"/>
      <c r="J274" s="31" t="n"/>
      <c r="K274" s="32" t="n"/>
      <c r="L274" s="32" t="n"/>
      <c r="M274" s="31" t="n"/>
      <c r="N274" s="32" t="n"/>
      <c r="O274" s="32" t="n"/>
      <c r="P274" s="33">
        <f>IF(J274="","",TODAY()-J274)</f>
        <v/>
      </c>
      <c r="Q274" s="5">
        <f>IF(AND(M274&lt;&gt;"",M274&lt;TODAY(),ISNA(MATCH(H274,{"Won","Lost","Do not contact"},0))),"OVERDUE","")</f>
        <v/>
      </c>
    </row>
    <row r="275">
      <c r="A275" s="31" t="n"/>
      <c r="B275" s="32" t="n"/>
      <c r="C275" s="32" t="n"/>
      <c r="D275" s="32" t="n"/>
      <c r="E275" s="32" t="n"/>
      <c r="F275" s="32" t="n"/>
      <c r="G275" s="32" t="n"/>
      <c r="H275" s="32" t="n"/>
      <c r="I275" s="32" t="n"/>
      <c r="J275" s="31" t="n"/>
      <c r="K275" s="32" t="n"/>
      <c r="L275" s="32" t="n"/>
      <c r="M275" s="31" t="n"/>
      <c r="N275" s="32" t="n"/>
      <c r="O275" s="32" t="n"/>
      <c r="P275" s="33">
        <f>IF(J275="","",TODAY()-J275)</f>
        <v/>
      </c>
      <c r="Q275" s="5">
        <f>IF(AND(M275&lt;&gt;"",M275&lt;TODAY(),ISNA(MATCH(H275,{"Won","Lost","Do not contact"},0))),"OVERDUE","")</f>
        <v/>
      </c>
    </row>
    <row r="276">
      <c r="A276" s="31" t="n"/>
      <c r="B276" s="32" t="n"/>
      <c r="C276" s="32" t="n"/>
      <c r="D276" s="32" t="n"/>
      <c r="E276" s="32" t="n"/>
      <c r="F276" s="32" t="n"/>
      <c r="G276" s="32" t="n"/>
      <c r="H276" s="32" t="n"/>
      <c r="I276" s="32" t="n"/>
      <c r="J276" s="31" t="n"/>
      <c r="K276" s="32" t="n"/>
      <c r="L276" s="32" t="n"/>
      <c r="M276" s="31" t="n"/>
      <c r="N276" s="32" t="n"/>
      <c r="O276" s="32" t="n"/>
      <c r="P276" s="33">
        <f>IF(J276="","",TODAY()-J276)</f>
        <v/>
      </c>
      <c r="Q276" s="5">
        <f>IF(AND(M276&lt;&gt;"",M276&lt;TODAY(),ISNA(MATCH(H276,{"Won","Lost","Do not contact"},0))),"OVERDUE","")</f>
        <v/>
      </c>
    </row>
    <row r="277">
      <c r="A277" s="31" t="n"/>
      <c r="B277" s="32" t="n"/>
      <c r="C277" s="32" t="n"/>
      <c r="D277" s="32" t="n"/>
      <c r="E277" s="32" t="n"/>
      <c r="F277" s="32" t="n"/>
      <c r="G277" s="32" t="n"/>
      <c r="H277" s="32" t="n"/>
      <c r="I277" s="32" t="n"/>
      <c r="J277" s="31" t="n"/>
      <c r="K277" s="32" t="n"/>
      <c r="L277" s="32" t="n"/>
      <c r="M277" s="31" t="n"/>
      <c r="N277" s="32" t="n"/>
      <c r="O277" s="32" t="n"/>
      <c r="P277" s="33">
        <f>IF(J277="","",TODAY()-J277)</f>
        <v/>
      </c>
      <c r="Q277" s="5">
        <f>IF(AND(M277&lt;&gt;"",M277&lt;TODAY(),ISNA(MATCH(H277,{"Won","Lost","Do not contact"},0))),"OVERDUE","")</f>
        <v/>
      </c>
    </row>
    <row r="278">
      <c r="A278" s="31" t="n"/>
      <c r="B278" s="32" t="n"/>
      <c r="C278" s="32" t="n"/>
      <c r="D278" s="32" t="n"/>
      <c r="E278" s="32" t="n"/>
      <c r="F278" s="32" t="n"/>
      <c r="G278" s="32" t="n"/>
      <c r="H278" s="32" t="n"/>
      <c r="I278" s="32" t="n"/>
      <c r="J278" s="31" t="n"/>
      <c r="K278" s="32" t="n"/>
      <c r="L278" s="32" t="n"/>
      <c r="M278" s="31" t="n"/>
      <c r="N278" s="32" t="n"/>
      <c r="O278" s="32" t="n"/>
      <c r="P278" s="33">
        <f>IF(J278="","",TODAY()-J278)</f>
        <v/>
      </c>
      <c r="Q278" s="5">
        <f>IF(AND(M278&lt;&gt;"",M278&lt;TODAY(),ISNA(MATCH(H278,{"Won","Lost","Do not contact"},0))),"OVERDUE","")</f>
        <v/>
      </c>
    </row>
    <row r="279">
      <c r="A279" s="31" t="n"/>
      <c r="B279" s="32" t="n"/>
      <c r="C279" s="32" t="n"/>
      <c r="D279" s="32" t="n"/>
      <c r="E279" s="32" t="n"/>
      <c r="F279" s="32" t="n"/>
      <c r="G279" s="32" t="n"/>
      <c r="H279" s="32" t="n"/>
      <c r="I279" s="32" t="n"/>
      <c r="J279" s="31" t="n"/>
      <c r="K279" s="32" t="n"/>
      <c r="L279" s="32" t="n"/>
      <c r="M279" s="31" t="n"/>
      <c r="N279" s="32" t="n"/>
      <c r="O279" s="32" t="n"/>
      <c r="P279" s="33">
        <f>IF(J279="","",TODAY()-J279)</f>
        <v/>
      </c>
      <c r="Q279" s="5">
        <f>IF(AND(M279&lt;&gt;"",M279&lt;TODAY(),ISNA(MATCH(H279,{"Won","Lost","Do not contact"},0))),"OVERDUE","")</f>
        <v/>
      </c>
    </row>
    <row r="280">
      <c r="A280" s="31" t="n"/>
      <c r="B280" s="32" t="n"/>
      <c r="C280" s="32" t="n"/>
      <c r="D280" s="32" t="n"/>
      <c r="E280" s="32" t="n"/>
      <c r="F280" s="32" t="n"/>
      <c r="G280" s="32" t="n"/>
      <c r="H280" s="32" t="n"/>
      <c r="I280" s="32" t="n"/>
      <c r="J280" s="31" t="n"/>
      <c r="K280" s="32" t="n"/>
      <c r="L280" s="32" t="n"/>
      <c r="M280" s="31" t="n"/>
      <c r="N280" s="32" t="n"/>
      <c r="O280" s="32" t="n"/>
      <c r="P280" s="33">
        <f>IF(J280="","",TODAY()-J280)</f>
        <v/>
      </c>
      <c r="Q280" s="5">
        <f>IF(AND(M280&lt;&gt;"",M280&lt;TODAY(),ISNA(MATCH(H280,{"Won","Lost","Do not contact"},0))),"OVERDUE","")</f>
        <v/>
      </c>
    </row>
    <row r="281">
      <c r="A281" s="31" t="n"/>
      <c r="B281" s="32" t="n"/>
      <c r="C281" s="32" t="n"/>
      <c r="D281" s="32" t="n"/>
      <c r="E281" s="32" t="n"/>
      <c r="F281" s="32" t="n"/>
      <c r="G281" s="32" t="n"/>
      <c r="H281" s="32" t="n"/>
      <c r="I281" s="32" t="n"/>
      <c r="J281" s="31" t="n"/>
      <c r="K281" s="32" t="n"/>
      <c r="L281" s="32" t="n"/>
      <c r="M281" s="31" t="n"/>
      <c r="N281" s="32" t="n"/>
      <c r="O281" s="32" t="n"/>
      <c r="P281" s="33">
        <f>IF(J281="","",TODAY()-J281)</f>
        <v/>
      </c>
      <c r="Q281" s="5">
        <f>IF(AND(M281&lt;&gt;"",M281&lt;TODAY(),ISNA(MATCH(H281,{"Won","Lost","Do not contact"},0))),"OVERDUE","")</f>
        <v/>
      </c>
    </row>
    <row r="282">
      <c r="A282" s="31" t="n"/>
      <c r="B282" s="32" t="n"/>
      <c r="C282" s="32" t="n"/>
      <c r="D282" s="32" t="n"/>
      <c r="E282" s="32" t="n"/>
      <c r="F282" s="32" t="n"/>
      <c r="G282" s="32" t="n"/>
      <c r="H282" s="32" t="n"/>
      <c r="I282" s="32" t="n"/>
      <c r="J282" s="31" t="n"/>
      <c r="K282" s="32" t="n"/>
      <c r="L282" s="32" t="n"/>
      <c r="M282" s="31" t="n"/>
      <c r="N282" s="32" t="n"/>
      <c r="O282" s="32" t="n"/>
      <c r="P282" s="33">
        <f>IF(J282="","",TODAY()-J282)</f>
        <v/>
      </c>
      <c r="Q282" s="5">
        <f>IF(AND(M282&lt;&gt;"",M282&lt;TODAY(),ISNA(MATCH(H282,{"Won","Lost","Do not contact"},0))),"OVERDUE","")</f>
        <v/>
      </c>
    </row>
    <row r="283">
      <c r="A283" s="31" t="n"/>
      <c r="B283" s="32" t="n"/>
      <c r="C283" s="32" t="n"/>
      <c r="D283" s="32" t="n"/>
      <c r="E283" s="32" t="n"/>
      <c r="F283" s="32" t="n"/>
      <c r="G283" s="32" t="n"/>
      <c r="H283" s="32" t="n"/>
      <c r="I283" s="32" t="n"/>
      <c r="J283" s="31" t="n"/>
      <c r="K283" s="32" t="n"/>
      <c r="L283" s="32" t="n"/>
      <c r="M283" s="31" t="n"/>
      <c r="N283" s="32" t="n"/>
      <c r="O283" s="32" t="n"/>
      <c r="P283" s="33">
        <f>IF(J283="","",TODAY()-J283)</f>
        <v/>
      </c>
      <c r="Q283" s="5">
        <f>IF(AND(M283&lt;&gt;"",M283&lt;TODAY(),ISNA(MATCH(H283,{"Won","Lost","Do not contact"},0))),"OVERDUE","")</f>
        <v/>
      </c>
    </row>
    <row r="284">
      <c r="A284" s="31" t="n"/>
      <c r="B284" s="32" t="n"/>
      <c r="C284" s="32" t="n"/>
      <c r="D284" s="32" t="n"/>
      <c r="E284" s="32" t="n"/>
      <c r="F284" s="32" t="n"/>
      <c r="G284" s="32" t="n"/>
      <c r="H284" s="32" t="n"/>
      <c r="I284" s="32" t="n"/>
      <c r="J284" s="31" t="n"/>
      <c r="K284" s="32" t="n"/>
      <c r="L284" s="32" t="n"/>
      <c r="M284" s="31" t="n"/>
      <c r="N284" s="32" t="n"/>
      <c r="O284" s="32" t="n"/>
      <c r="P284" s="33">
        <f>IF(J284="","",TODAY()-J284)</f>
        <v/>
      </c>
      <c r="Q284" s="5">
        <f>IF(AND(M284&lt;&gt;"",M284&lt;TODAY(),ISNA(MATCH(H284,{"Won","Lost","Do not contact"},0))),"OVERDUE","")</f>
        <v/>
      </c>
    </row>
    <row r="285">
      <c r="A285" s="31" t="n"/>
      <c r="B285" s="32" t="n"/>
      <c r="C285" s="32" t="n"/>
      <c r="D285" s="32" t="n"/>
      <c r="E285" s="32" t="n"/>
      <c r="F285" s="32" t="n"/>
      <c r="G285" s="32" t="n"/>
      <c r="H285" s="32" t="n"/>
      <c r="I285" s="32" t="n"/>
      <c r="J285" s="31" t="n"/>
      <c r="K285" s="32" t="n"/>
      <c r="L285" s="32" t="n"/>
      <c r="M285" s="31" t="n"/>
      <c r="N285" s="32" t="n"/>
      <c r="O285" s="32" t="n"/>
      <c r="P285" s="33">
        <f>IF(J285="","",TODAY()-J285)</f>
        <v/>
      </c>
      <c r="Q285" s="5">
        <f>IF(AND(M285&lt;&gt;"",M285&lt;TODAY(),ISNA(MATCH(H285,{"Won","Lost","Do not contact"},0))),"OVERDUE","")</f>
        <v/>
      </c>
    </row>
    <row r="286">
      <c r="A286" s="31" t="n"/>
      <c r="B286" s="32" t="n"/>
      <c r="C286" s="32" t="n"/>
      <c r="D286" s="32" t="n"/>
      <c r="E286" s="32" t="n"/>
      <c r="F286" s="32" t="n"/>
      <c r="G286" s="32" t="n"/>
      <c r="H286" s="32" t="n"/>
      <c r="I286" s="32" t="n"/>
      <c r="J286" s="31" t="n"/>
      <c r="K286" s="32" t="n"/>
      <c r="L286" s="32" t="n"/>
      <c r="M286" s="31" t="n"/>
      <c r="N286" s="32" t="n"/>
      <c r="O286" s="32" t="n"/>
      <c r="P286" s="33">
        <f>IF(J286="","",TODAY()-J286)</f>
        <v/>
      </c>
      <c r="Q286" s="5">
        <f>IF(AND(M286&lt;&gt;"",M286&lt;TODAY(),ISNA(MATCH(H286,{"Won","Lost","Do not contact"},0))),"OVERDUE","")</f>
        <v/>
      </c>
    </row>
    <row r="287">
      <c r="A287" s="31" t="n"/>
      <c r="B287" s="32" t="n"/>
      <c r="C287" s="32" t="n"/>
      <c r="D287" s="32" t="n"/>
      <c r="E287" s="32" t="n"/>
      <c r="F287" s="32" t="n"/>
      <c r="G287" s="32" t="n"/>
      <c r="H287" s="32" t="n"/>
      <c r="I287" s="32" t="n"/>
      <c r="J287" s="31" t="n"/>
      <c r="K287" s="32" t="n"/>
      <c r="L287" s="32" t="n"/>
      <c r="M287" s="31" t="n"/>
      <c r="N287" s="32" t="n"/>
      <c r="O287" s="32" t="n"/>
      <c r="P287" s="33">
        <f>IF(J287="","",TODAY()-J287)</f>
        <v/>
      </c>
      <c r="Q287" s="5">
        <f>IF(AND(M287&lt;&gt;"",M287&lt;TODAY(),ISNA(MATCH(H287,{"Won","Lost","Do not contact"},0))),"OVERDUE","")</f>
        <v/>
      </c>
    </row>
    <row r="288">
      <c r="A288" s="31" t="n"/>
      <c r="B288" s="32" t="n"/>
      <c r="C288" s="32" t="n"/>
      <c r="D288" s="32" t="n"/>
      <c r="E288" s="32" t="n"/>
      <c r="F288" s="32" t="n"/>
      <c r="G288" s="32" t="n"/>
      <c r="H288" s="32" t="n"/>
      <c r="I288" s="32" t="n"/>
      <c r="J288" s="31" t="n"/>
      <c r="K288" s="32" t="n"/>
      <c r="L288" s="32" t="n"/>
      <c r="M288" s="31" t="n"/>
      <c r="N288" s="32" t="n"/>
      <c r="O288" s="32" t="n"/>
      <c r="P288" s="33">
        <f>IF(J288="","",TODAY()-J288)</f>
        <v/>
      </c>
      <c r="Q288" s="5">
        <f>IF(AND(M288&lt;&gt;"",M288&lt;TODAY(),ISNA(MATCH(H288,{"Won","Lost","Do not contact"},0))),"OVERDUE","")</f>
        <v/>
      </c>
    </row>
    <row r="289">
      <c r="A289" s="31" t="n"/>
      <c r="B289" s="32" t="n"/>
      <c r="C289" s="32" t="n"/>
      <c r="D289" s="32" t="n"/>
      <c r="E289" s="32" t="n"/>
      <c r="F289" s="32" t="n"/>
      <c r="G289" s="32" t="n"/>
      <c r="H289" s="32" t="n"/>
      <c r="I289" s="32" t="n"/>
      <c r="J289" s="31" t="n"/>
      <c r="K289" s="32" t="n"/>
      <c r="L289" s="32" t="n"/>
      <c r="M289" s="31" t="n"/>
      <c r="N289" s="32" t="n"/>
      <c r="O289" s="32" t="n"/>
      <c r="P289" s="33">
        <f>IF(J289="","",TODAY()-J289)</f>
        <v/>
      </c>
      <c r="Q289" s="5">
        <f>IF(AND(M289&lt;&gt;"",M289&lt;TODAY(),ISNA(MATCH(H289,{"Won","Lost","Do not contact"},0))),"OVERDUE","")</f>
        <v/>
      </c>
    </row>
    <row r="290">
      <c r="A290" s="31" t="n"/>
      <c r="B290" s="32" t="n"/>
      <c r="C290" s="32" t="n"/>
      <c r="D290" s="32" t="n"/>
      <c r="E290" s="32" t="n"/>
      <c r="F290" s="32" t="n"/>
      <c r="G290" s="32" t="n"/>
      <c r="H290" s="32" t="n"/>
      <c r="I290" s="32" t="n"/>
      <c r="J290" s="31" t="n"/>
      <c r="K290" s="32" t="n"/>
      <c r="L290" s="32" t="n"/>
      <c r="M290" s="31" t="n"/>
      <c r="N290" s="32" t="n"/>
      <c r="O290" s="32" t="n"/>
      <c r="P290" s="33">
        <f>IF(J290="","",TODAY()-J290)</f>
        <v/>
      </c>
      <c r="Q290" s="5">
        <f>IF(AND(M290&lt;&gt;"",M290&lt;TODAY(),ISNA(MATCH(H290,{"Won","Lost","Do not contact"},0))),"OVERDUE","")</f>
        <v/>
      </c>
    </row>
    <row r="291">
      <c r="A291" s="31" t="n"/>
      <c r="B291" s="32" t="n"/>
      <c r="C291" s="32" t="n"/>
      <c r="D291" s="32" t="n"/>
      <c r="E291" s="32" t="n"/>
      <c r="F291" s="32" t="n"/>
      <c r="G291" s="32" t="n"/>
      <c r="H291" s="32" t="n"/>
      <c r="I291" s="32" t="n"/>
      <c r="J291" s="31" t="n"/>
      <c r="K291" s="32" t="n"/>
      <c r="L291" s="32" t="n"/>
      <c r="M291" s="31" t="n"/>
      <c r="N291" s="32" t="n"/>
      <c r="O291" s="32" t="n"/>
      <c r="P291" s="33">
        <f>IF(J291="","",TODAY()-J291)</f>
        <v/>
      </c>
      <c r="Q291" s="5">
        <f>IF(AND(M291&lt;&gt;"",M291&lt;TODAY(),ISNA(MATCH(H291,{"Won","Lost","Do not contact"},0))),"OVERDUE","")</f>
        <v/>
      </c>
    </row>
    <row r="292">
      <c r="A292" s="31" t="n"/>
      <c r="B292" s="32" t="n"/>
      <c r="C292" s="32" t="n"/>
      <c r="D292" s="32" t="n"/>
      <c r="E292" s="32" t="n"/>
      <c r="F292" s="32" t="n"/>
      <c r="G292" s="32" t="n"/>
      <c r="H292" s="32" t="n"/>
      <c r="I292" s="32" t="n"/>
      <c r="J292" s="31" t="n"/>
      <c r="K292" s="32" t="n"/>
      <c r="L292" s="32" t="n"/>
      <c r="M292" s="31" t="n"/>
      <c r="N292" s="32" t="n"/>
      <c r="O292" s="32" t="n"/>
      <c r="P292" s="33">
        <f>IF(J292="","",TODAY()-J292)</f>
        <v/>
      </c>
      <c r="Q292" s="5">
        <f>IF(AND(M292&lt;&gt;"",M292&lt;TODAY(),ISNA(MATCH(H292,{"Won","Lost","Do not contact"},0))),"OVERDUE","")</f>
        <v/>
      </c>
    </row>
    <row r="293">
      <c r="A293" s="31" t="n"/>
      <c r="B293" s="32" t="n"/>
      <c r="C293" s="32" t="n"/>
      <c r="D293" s="32" t="n"/>
      <c r="E293" s="32" t="n"/>
      <c r="F293" s="32" t="n"/>
      <c r="G293" s="32" t="n"/>
      <c r="H293" s="32" t="n"/>
      <c r="I293" s="32" t="n"/>
      <c r="J293" s="31" t="n"/>
      <c r="K293" s="32" t="n"/>
      <c r="L293" s="32" t="n"/>
      <c r="M293" s="31" t="n"/>
      <c r="N293" s="32" t="n"/>
      <c r="O293" s="32" t="n"/>
      <c r="P293" s="33">
        <f>IF(J293="","",TODAY()-J293)</f>
        <v/>
      </c>
      <c r="Q293" s="5">
        <f>IF(AND(M293&lt;&gt;"",M293&lt;TODAY(),ISNA(MATCH(H293,{"Won","Lost","Do not contact"},0))),"OVERDUE","")</f>
        <v/>
      </c>
    </row>
    <row r="294">
      <c r="A294" s="31" t="n"/>
      <c r="B294" s="32" t="n"/>
      <c r="C294" s="32" t="n"/>
      <c r="D294" s="32" t="n"/>
      <c r="E294" s="32" t="n"/>
      <c r="F294" s="32" t="n"/>
      <c r="G294" s="32" t="n"/>
      <c r="H294" s="32" t="n"/>
      <c r="I294" s="32" t="n"/>
      <c r="J294" s="31" t="n"/>
      <c r="K294" s="32" t="n"/>
      <c r="L294" s="32" t="n"/>
      <c r="M294" s="31" t="n"/>
      <c r="N294" s="32" t="n"/>
      <c r="O294" s="32" t="n"/>
      <c r="P294" s="33">
        <f>IF(J294="","",TODAY()-J294)</f>
        <v/>
      </c>
      <c r="Q294" s="5">
        <f>IF(AND(M294&lt;&gt;"",M294&lt;TODAY(),ISNA(MATCH(H294,{"Won","Lost","Do not contact"},0))),"OVERDUE","")</f>
        <v/>
      </c>
    </row>
    <row r="295">
      <c r="A295" s="31" t="n"/>
      <c r="B295" s="32" t="n"/>
      <c r="C295" s="32" t="n"/>
      <c r="D295" s="32" t="n"/>
      <c r="E295" s="32" t="n"/>
      <c r="F295" s="32" t="n"/>
      <c r="G295" s="32" t="n"/>
      <c r="H295" s="32" t="n"/>
      <c r="I295" s="32" t="n"/>
      <c r="J295" s="31" t="n"/>
      <c r="K295" s="32" t="n"/>
      <c r="L295" s="32" t="n"/>
      <c r="M295" s="31" t="n"/>
      <c r="N295" s="32" t="n"/>
      <c r="O295" s="32" t="n"/>
      <c r="P295" s="33">
        <f>IF(J295="","",TODAY()-J295)</f>
        <v/>
      </c>
      <c r="Q295" s="5">
        <f>IF(AND(M295&lt;&gt;"",M295&lt;TODAY(),ISNA(MATCH(H295,{"Won","Lost","Do not contact"},0))),"OVERDUE","")</f>
        <v/>
      </c>
    </row>
    <row r="296">
      <c r="A296" s="31" t="n"/>
      <c r="B296" s="32" t="n"/>
      <c r="C296" s="32" t="n"/>
      <c r="D296" s="32" t="n"/>
      <c r="E296" s="32" t="n"/>
      <c r="F296" s="32" t="n"/>
      <c r="G296" s="32" t="n"/>
      <c r="H296" s="32" t="n"/>
      <c r="I296" s="32" t="n"/>
      <c r="J296" s="31" t="n"/>
      <c r="K296" s="32" t="n"/>
      <c r="L296" s="32" t="n"/>
      <c r="M296" s="31" t="n"/>
      <c r="N296" s="32" t="n"/>
      <c r="O296" s="32" t="n"/>
      <c r="P296" s="33">
        <f>IF(J296="","",TODAY()-J296)</f>
        <v/>
      </c>
      <c r="Q296" s="5">
        <f>IF(AND(M296&lt;&gt;"",M296&lt;TODAY(),ISNA(MATCH(H296,{"Won","Lost","Do not contact"},0))),"OVERDUE","")</f>
        <v/>
      </c>
    </row>
    <row r="297">
      <c r="A297" s="31" t="n"/>
      <c r="B297" s="32" t="n"/>
      <c r="C297" s="32" t="n"/>
      <c r="D297" s="32" t="n"/>
      <c r="E297" s="32" t="n"/>
      <c r="F297" s="32" t="n"/>
      <c r="G297" s="32" t="n"/>
      <c r="H297" s="32" t="n"/>
      <c r="I297" s="32" t="n"/>
      <c r="J297" s="31" t="n"/>
      <c r="K297" s="32" t="n"/>
      <c r="L297" s="32" t="n"/>
      <c r="M297" s="31" t="n"/>
      <c r="N297" s="32" t="n"/>
      <c r="O297" s="32" t="n"/>
      <c r="P297" s="33">
        <f>IF(J297="","",TODAY()-J297)</f>
        <v/>
      </c>
      <c r="Q297" s="5">
        <f>IF(AND(M297&lt;&gt;"",M297&lt;TODAY(),ISNA(MATCH(H297,{"Won","Lost","Do not contact"},0))),"OVERDUE","")</f>
        <v/>
      </c>
    </row>
    <row r="298">
      <c r="A298" s="31" t="n"/>
      <c r="B298" s="32" t="n"/>
      <c r="C298" s="32" t="n"/>
      <c r="D298" s="32" t="n"/>
      <c r="E298" s="32" t="n"/>
      <c r="F298" s="32" t="n"/>
      <c r="G298" s="32" t="n"/>
      <c r="H298" s="32" t="n"/>
      <c r="I298" s="32" t="n"/>
      <c r="J298" s="31" t="n"/>
      <c r="K298" s="32" t="n"/>
      <c r="L298" s="32" t="n"/>
      <c r="M298" s="31" t="n"/>
      <c r="N298" s="32" t="n"/>
      <c r="O298" s="32" t="n"/>
      <c r="P298" s="33">
        <f>IF(J298="","",TODAY()-J298)</f>
        <v/>
      </c>
      <c r="Q298" s="5">
        <f>IF(AND(M298&lt;&gt;"",M298&lt;TODAY(),ISNA(MATCH(H298,{"Won","Lost","Do not contact"},0))),"OVERDUE","")</f>
        <v/>
      </c>
    </row>
    <row r="299">
      <c r="A299" s="31" t="n"/>
      <c r="B299" s="32" t="n"/>
      <c r="C299" s="32" t="n"/>
      <c r="D299" s="32" t="n"/>
      <c r="E299" s="32" t="n"/>
      <c r="F299" s="32" t="n"/>
      <c r="G299" s="32" t="n"/>
      <c r="H299" s="32" t="n"/>
      <c r="I299" s="32" t="n"/>
      <c r="J299" s="31" t="n"/>
      <c r="K299" s="32" t="n"/>
      <c r="L299" s="32" t="n"/>
      <c r="M299" s="31" t="n"/>
      <c r="N299" s="32" t="n"/>
      <c r="O299" s="32" t="n"/>
      <c r="P299" s="33">
        <f>IF(J299="","",TODAY()-J299)</f>
        <v/>
      </c>
      <c r="Q299" s="5">
        <f>IF(AND(M299&lt;&gt;"",M299&lt;TODAY(),ISNA(MATCH(H299,{"Won","Lost","Do not contact"},0))),"OVERDUE","")</f>
        <v/>
      </c>
    </row>
    <row r="300">
      <c r="A300" s="31" t="n"/>
      <c r="B300" s="32" t="n"/>
      <c r="C300" s="32" t="n"/>
      <c r="D300" s="32" t="n"/>
      <c r="E300" s="32" t="n"/>
      <c r="F300" s="32" t="n"/>
      <c r="G300" s="32" t="n"/>
      <c r="H300" s="32" t="n"/>
      <c r="I300" s="32" t="n"/>
      <c r="J300" s="31" t="n"/>
      <c r="K300" s="32" t="n"/>
      <c r="L300" s="32" t="n"/>
      <c r="M300" s="31" t="n"/>
      <c r="N300" s="32" t="n"/>
      <c r="O300" s="32" t="n"/>
      <c r="P300" s="33">
        <f>IF(J300="","",TODAY()-J300)</f>
        <v/>
      </c>
      <c r="Q300" s="5">
        <f>IF(AND(M300&lt;&gt;"",M300&lt;TODAY(),ISNA(MATCH(H300,{"Won","Lost","Do not contact"},0))),"OVERDUE","")</f>
        <v/>
      </c>
    </row>
    <row r="301">
      <c r="A301" s="31" t="n"/>
      <c r="B301" s="32" t="n"/>
      <c r="C301" s="32" t="n"/>
      <c r="D301" s="32" t="n"/>
      <c r="E301" s="32" t="n"/>
      <c r="F301" s="32" t="n"/>
      <c r="G301" s="32" t="n"/>
      <c r="H301" s="32" t="n"/>
      <c r="I301" s="32" t="n"/>
      <c r="J301" s="31" t="n"/>
      <c r="K301" s="32" t="n"/>
      <c r="L301" s="32" t="n"/>
      <c r="M301" s="31" t="n"/>
      <c r="N301" s="32" t="n"/>
      <c r="O301" s="32" t="n"/>
      <c r="P301" s="33">
        <f>IF(J301="","",TODAY()-J301)</f>
        <v/>
      </c>
      <c r="Q301" s="5">
        <f>IF(AND(M301&lt;&gt;"",M301&lt;TODAY(),ISNA(MATCH(H301,{"Won","Lost","Do not contact"},0))),"OVERDUE","")</f>
        <v/>
      </c>
    </row>
    <row r="302">
      <c r="A302" s="31" t="n"/>
      <c r="B302" s="32" t="n"/>
      <c r="C302" s="32" t="n"/>
      <c r="D302" s="32" t="n"/>
      <c r="E302" s="32" t="n"/>
      <c r="F302" s="32" t="n"/>
      <c r="G302" s="32" t="n"/>
      <c r="H302" s="32" t="n"/>
      <c r="I302" s="32" t="n"/>
      <c r="J302" s="31" t="n"/>
      <c r="K302" s="32" t="n"/>
      <c r="L302" s="32" t="n"/>
      <c r="M302" s="31" t="n"/>
      <c r="N302" s="32" t="n"/>
      <c r="O302" s="32" t="n"/>
      <c r="P302" s="33">
        <f>IF(J302="","",TODAY()-J302)</f>
        <v/>
      </c>
      <c r="Q302" s="5">
        <f>IF(AND(M302&lt;&gt;"",M302&lt;TODAY(),ISNA(MATCH(H302,{"Won","Lost","Do not contact"},0))),"OVERDUE","")</f>
        <v/>
      </c>
    </row>
    <row r="303">
      <c r="A303" s="31" t="n"/>
      <c r="B303" s="32" t="n"/>
      <c r="C303" s="32" t="n"/>
      <c r="D303" s="32" t="n"/>
      <c r="E303" s="32" t="n"/>
      <c r="F303" s="32" t="n"/>
      <c r="G303" s="32" t="n"/>
      <c r="H303" s="32" t="n"/>
      <c r="I303" s="32" t="n"/>
      <c r="J303" s="31" t="n"/>
      <c r="K303" s="32" t="n"/>
      <c r="L303" s="32" t="n"/>
      <c r="M303" s="31" t="n"/>
      <c r="N303" s="32" t="n"/>
      <c r="O303" s="32" t="n"/>
      <c r="P303" s="33">
        <f>IF(J303="","",TODAY()-J303)</f>
        <v/>
      </c>
      <c r="Q303" s="5">
        <f>IF(AND(M303&lt;&gt;"",M303&lt;TODAY(),ISNA(MATCH(H303,{"Won","Lost","Do not contact"},0))),"OVERDUE","")</f>
        <v/>
      </c>
    </row>
    <row r="304">
      <c r="A304" s="31" t="n"/>
      <c r="B304" s="32" t="n"/>
      <c r="C304" s="32" t="n"/>
      <c r="D304" s="32" t="n"/>
      <c r="E304" s="32" t="n"/>
      <c r="F304" s="32" t="n"/>
      <c r="G304" s="32" t="n"/>
      <c r="H304" s="32" t="n"/>
      <c r="I304" s="32" t="n"/>
      <c r="J304" s="31" t="n"/>
      <c r="K304" s="32" t="n"/>
      <c r="L304" s="32" t="n"/>
      <c r="M304" s="31" t="n"/>
      <c r="N304" s="32" t="n"/>
      <c r="O304" s="32" t="n"/>
      <c r="P304" s="33">
        <f>IF(J304="","",TODAY()-J304)</f>
        <v/>
      </c>
      <c r="Q304" s="5">
        <f>IF(AND(M304&lt;&gt;"",M304&lt;TODAY(),ISNA(MATCH(H304,{"Won","Lost","Do not contact"},0))),"OVERDUE","")</f>
        <v/>
      </c>
    </row>
    <row r="305">
      <c r="A305" s="31" t="n"/>
      <c r="B305" s="32" t="n"/>
      <c r="C305" s="32" t="n"/>
      <c r="D305" s="32" t="n"/>
      <c r="E305" s="32" t="n"/>
      <c r="F305" s="32" t="n"/>
      <c r="G305" s="32" t="n"/>
      <c r="H305" s="32" t="n"/>
      <c r="I305" s="32" t="n"/>
      <c r="J305" s="31" t="n"/>
      <c r="K305" s="32" t="n"/>
      <c r="L305" s="32" t="n"/>
      <c r="M305" s="31" t="n"/>
      <c r="N305" s="32" t="n"/>
      <c r="O305" s="32" t="n"/>
      <c r="P305" s="33">
        <f>IF(J305="","",TODAY()-J305)</f>
        <v/>
      </c>
      <c r="Q305" s="5">
        <f>IF(AND(M305&lt;&gt;"",M305&lt;TODAY(),ISNA(MATCH(H305,{"Won","Lost","Do not contact"},0))),"OVERDUE","")</f>
        <v/>
      </c>
    </row>
    <row r="306">
      <c r="A306" s="31" t="n"/>
      <c r="B306" s="32" t="n"/>
      <c r="C306" s="32" t="n"/>
      <c r="D306" s="32" t="n"/>
      <c r="E306" s="32" t="n"/>
      <c r="F306" s="32" t="n"/>
      <c r="G306" s="32" t="n"/>
      <c r="H306" s="32" t="n"/>
      <c r="I306" s="32" t="n"/>
      <c r="J306" s="31" t="n"/>
      <c r="K306" s="32" t="n"/>
      <c r="L306" s="32" t="n"/>
      <c r="M306" s="31" t="n"/>
      <c r="N306" s="32" t="n"/>
      <c r="O306" s="32" t="n"/>
      <c r="P306" s="33">
        <f>IF(J306="","",TODAY()-J306)</f>
        <v/>
      </c>
      <c r="Q306" s="5">
        <f>IF(AND(M306&lt;&gt;"",M306&lt;TODAY(),ISNA(MATCH(H306,{"Won","Lost","Do not contact"},0))),"OVERDUE","")</f>
        <v/>
      </c>
    </row>
    <row r="307">
      <c r="A307" s="31" t="n"/>
      <c r="B307" s="32" t="n"/>
      <c r="C307" s="32" t="n"/>
      <c r="D307" s="32" t="n"/>
      <c r="E307" s="32" t="n"/>
      <c r="F307" s="32" t="n"/>
      <c r="G307" s="32" t="n"/>
      <c r="H307" s="32" t="n"/>
      <c r="I307" s="32" t="n"/>
      <c r="J307" s="31" t="n"/>
      <c r="K307" s="32" t="n"/>
      <c r="L307" s="32" t="n"/>
      <c r="M307" s="31" t="n"/>
      <c r="N307" s="32" t="n"/>
      <c r="O307" s="32" t="n"/>
      <c r="P307" s="33">
        <f>IF(J307="","",TODAY()-J307)</f>
        <v/>
      </c>
      <c r="Q307" s="5">
        <f>IF(AND(M307&lt;&gt;"",M307&lt;TODAY(),ISNA(MATCH(H307,{"Won","Lost","Do not contact"},0))),"OVERDUE","")</f>
        <v/>
      </c>
    </row>
    <row r="308">
      <c r="A308" s="31" t="n"/>
      <c r="B308" s="32" t="n"/>
      <c r="C308" s="32" t="n"/>
      <c r="D308" s="32" t="n"/>
      <c r="E308" s="32" t="n"/>
      <c r="F308" s="32" t="n"/>
      <c r="G308" s="32" t="n"/>
      <c r="H308" s="32" t="n"/>
      <c r="I308" s="32" t="n"/>
      <c r="J308" s="31" t="n"/>
      <c r="K308" s="32" t="n"/>
      <c r="L308" s="32" t="n"/>
      <c r="M308" s="31" t="n"/>
      <c r="N308" s="32" t="n"/>
      <c r="O308" s="32" t="n"/>
      <c r="P308" s="33">
        <f>IF(J308="","",TODAY()-J308)</f>
        <v/>
      </c>
      <c r="Q308" s="5">
        <f>IF(AND(M308&lt;&gt;"",M308&lt;TODAY(),ISNA(MATCH(H308,{"Won","Lost","Do not contact"},0))),"OVERDUE","")</f>
        <v/>
      </c>
    </row>
    <row r="309">
      <c r="A309" s="31" t="n"/>
      <c r="B309" s="32" t="n"/>
      <c r="C309" s="32" t="n"/>
      <c r="D309" s="32" t="n"/>
      <c r="E309" s="32" t="n"/>
      <c r="F309" s="32" t="n"/>
      <c r="G309" s="32" t="n"/>
      <c r="H309" s="32" t="n"/>
      <c r="I309" s="32" t="n"/>
      <c r="J309" s="31" t="n"/>
      <c r="K309" s="32" t="n"/>
      <c r="L309" s="32" t="n"/>
      <c r="M309" s="31" t="n"/>
      <c r="N309" s="32" t="n"/>
      <c r="O309" s="32" t="n"/>
      <c r="P309" s="33">
        <f>IF(J309="","",TODAY()-J309)</f>
        <v/>
      </c>
      <c r="Q309" s="5">
        <f>IF(AND(M309&lt;&gt;"",M309&lt;TODAY(),ISNA(MATCH(H309,{"Won","Lost","Do not contact"},0))),"OVERDUE","")</f>
        <v/>
      </c>
    </row>
    <row r="310">
      <c r="A310" s="31" t="n"/>
      <c r="B310" s="32" t="n"/>
      <c r="C310" s="32" t="n"/>
      <c r="D310" s="32" t="n"/>
      <c r="E310" s="32" t="n"/>
      <c r="F310" s="32" t="n"/>
      <c r="G310" s="32" t="n"/>
      <c r="H310" s="32" t="n"/>
      <c r="I310" s="32" t="n"/>
      <c r="J310" s="31" t="n"/>
      <c r="K310" s="32" t="n"/>
      <c r="L310" s="32" t="n"/>
      <c r="M310" s="31" t="n"/>
      <c r="N310" s="32" t="n"/>
      <c r="O310" s="32" t="n"/>
      <c r="P310" s="33">
        <f>IF(J310="","",TODAY()-J310)</f>
        <v/>
      </c>
      <c r="Q310" s="5">
        <f>IF(AND(M310&lt;&gt;"",M310&lt;TODAY(),ISNA(MATCH(H310,{"Won","Lost","Do not contact"},0))),"OVERDUE","")</f>
        <v/>
      </c>
    </row>
    <row r="311">
      <c r="A311" s="31" t="n"/>
      <c r="B311" s="32" t="n"/>
      <c r="C311" s="32" t="n"/>
      <c r="D311" s="32" t="n"/>
      <c r="E311" s="32" t="n"/>
      <c r="F311" s="32" t="n"/>
      <c r="G311" s="32" t="n"/>
      <c r="H311" s="32" t="n"/>
      <c r="I311" s="32" t="n"/>
      <c r="J311" s="31" t="n"/>
      <c r="K311" s="32" t="n"/>
      <c r="L311" s="32" t="n"/>
      <c r="M311" s="31" t="n"/>
      <c r="N311" s="32" t="n"/>
      <c r="O311" s="32" t="n"/>
      <c r="P311" s="33">
        <f>IF(J311="","",TODAY()-J311)</f>
        <v/>
      </c>
      <c r="Q311" s="5">
        <f>IF(AND(M311&lt;&gt;"",M311&lt;TODAY(),ISNA(MATCH(H311,{"Won","Lost","Do not contact"},0))),"OVERDUE","")</f>
        <v/>
      </c>
    </row>
    <row r="312">
      <c r="A312" s="31" t="n"/>
      <c r="B312" s="32" t="n"/>
      <c r="C312" s="32" t="n"/>
      <c r="D312" s="32" t="n"/>
      <c r="E312" s="32" t="n"/>
      <c r="F312" s="32" t="n"/>
      <c r="G312" s="32" t="n"/>
      <c r="H312" s="32" t="n"/>
      <c r="I312" s="32" t="n"/>
      <c r="J312" s="31" t="n"/>
      <c r="K312" s="32" t="n"/>
      <c r="L312" s="32" t="n"/>
      <c r="M312" s="31" t="n"/>
      <c r="N312" s="32" t="n"/>
      <c r="O312" s="32" t="n"/>
      <c r="P312" s="33">
        <f>IF(J312="","",TODAY()-J312)</f>
        <v/>
      </c>
      <c r="Q312" s="5">
        <f>IF(AND(M312&lt;&gt;"",M312&lt;TODAY(),ISNA(MATCH(H312,{"Won","Lost","Do not contact"},0))),"OVERDUE","")</f>
        <v/>
      </c>
    </row>
    <row r="313">
      <c r="A313" s="31" t="n"/>
      <c r="B313" s="32" t="n"/>
      <c r="C313" s="32" t="n"/>
      <c r="D313" s="32" t="n"/>
      <c r="E313" s="32" t="n"/>
      <c r="F313" s="32" t="n"/>
      <c r="G313" s="32" t="n"/>
      <c r="H313" s="32" t="n"/>
      <c r="I313" s="32" t="n"/>
      <c r="J313" s="31" t="n"/>
      <c r="K313" s="32" t="n"/>
      <c r="L313" s="32" t="n"/>
      <c r="M313" s="31" t="n"/>
      <c r="N313" s="32" t="n"/>
      <c r="O313" s="32" t="n"/>
      <c r="P313" s="33">
        <f>IF(J313="","",TODAY()-J313)</f>
        <v/>
      </c>
      <c r="Q313" s="5">
        <f>IF(AND(M313&lt;&gt;"",M313&lt;TODAY(),ISNA(MATCH(H313,{"Won","Lost","Do not contact"},0))),"OVERDUE","")</f>
        <v/>
      </c>
    </row>
    <row r="314">
      <c r="A314" s="31" t="n"/>
      <c r="B314" s="32" t="n"/>
      <c r="C314" s="32" t="n"/>
      <c r="D314" s="32" t="n"/>
      <c r="E314" s="32" t="n"/>
      <c r="F314" s="32" t="n"/>
      <c r="G314" s="32" t="n"/>
      <c r="H314" s="32" t="n"/>
      <c r="I314" s="32" t="n"/>
      <c r="J314" s="31" t="n"/>
      <c r="K314" s="32" t="n"/>
      <c r="L314" s="32" t="n"/>
      <c r="M314" s="31" t="n"/>
      <c r="N314" s="32" t="n"/>
      <c r="O314" s="32" t="n"/>
      <c r="P314" s="33">
        <f>IF(J314="","",TODAY()-J314)</f>
        <v/>
      </c>
      <c r="Q314" s="5">
        <f>IF(AND(M314&lt;&gt;"",M314&lt;TODAY(),ISNA(MATCH(H314,{"Won","Lost","Do not contact"},0))),"OVERDUE","")</f>
        <v/>
      </c>
    </row>
    <row r="315">
      <c r="A315" s="31" t="n"/>
      <c r="B315" s="32" t="n"/>
      <c r="C315" s="32" t="n"/>
      <c r="D315" s="32" t="n"/>
      <c r="E315" s="32" t="n"/>
      <c r="F315" s="32" t="n"/>
      <c r="G315" s="32" t="n"/>
      <c r="H315" s="32" t="n"/>
      <c r="I315" s="32" t="n"/>
      <c r="J315" s="31" t="n"/>
      <c r="K315" s="32" t="n"/>
      <c r="L315" s="32" t="n"/>
      <c r="M315" s="31" t="n"/>
      <c r="N315" s="32" t="n"/>
      <c r="O315" s="32" t="n"/>
      <c r="P315" s="33">
        <f>IF(J315="","",TODAY()-J315)</f>
        <v/>
      </c>
      <c r="Q315" s="5">
        <f>IF(AND(M315&lt;&gt;"",M315&lt;TODAY(),ISNA(MATCH(H315,{"Won","Lost","Do not contact"},0))),"OVERDUE","")</f>
        <v/>
      </c>
    </row>
    <row r="316">
      <c r="A316" s="31" t="n"/>
      <c r="B316" s="32" t="n"/>
      <c r="C316" s="32" t="n"/>
      <c r="D316" s="32" t="n"/>
      <c r="E316" s="32" t="n"/>
      <c r="F316" s="32" t="n"/>
      <c r="G316" s="32" t="n"/>
      <c r="H316" s="32" t="n"/>
      <c r="I316" s="32" t="n"/>
      <c r="J316" s="31" t="n"/>
      <c r="K316" s="32" t="n"/>
      <c r="L316" s="32" t="n"/>
      <c r="M316" s="31" t="n"/>
      <c r="N316" s="32" t="n"/>
      <c r="O316" s="32" t="n"/>
      <c r="P316" s="33">
        <f>IF(J316="","",TODAY()-J316)</f>
        <v/>
      </c>
      <c r="Q316" s="5">
        <f>IF(AND(M316&lt;&gt;"",M316&lt;TODAY(),ISNA(MATCH(H316,{"Won","Lost","Do not contact"},0))),"OVERDUE","")</f>
        <v/>
      </c>
    </row>
    <row r="317">
      <c r="A317" s="31" t="n"/>
      <c r="B317" s="32" t="n"/>
      <c r="C317" s="32" t="n"/>
      <c r="D317" s="32" t="n"/>
      <c r="E317" s="32" t="n"/>
      <c r="F317" s="32" t="n"/>
      <c r="G317" s="32" t="n"/>
      <c r="H317" s="32" t="n"/>
      <c r="I317" s="32" t="n"/>
      <c r="J317" s="31" t="n"/>
      <c r="K317" s="32" t="n"/>
      <c r="L317" s="32" t="n"/>
      <c r="M317" s="31" t="n"/>
      <c r="N317" s="32" t="n"/>
      <c r="O317" s="32" t="n"/>
      <c r="P317" s="33">
        <f>IF(J317="","",TODAY()-J317)</f>
        <v/>
      </c>
      <c r="Q317" s="5">
        <f>IF(AND(M317&lt;&gt;"",M317&lt;TODAY(),ISNA(MATCH(H317,{"Won","Lost","Do not contact"},0))),"OVERDUE","")</f>
        <v/>
      </c>
    </row>
    <row r="318">
      <c r="A318" s="31" t="n"/>
      <c r="B318" s="32" t="n"/>
      <c r="C318" s="32" t="n"/>
      <c r="D318" s="32" t="n"/>
      <c r="E318" s="32" t="n"/>
      <c r="F318" s="32" t="n"/>
      <c r="G318" s="32" t="n"/>
      <c r="H318" s="32" t="n"/>
      <c r="I318" s="32" t="n"/>
      <c r="J318" s="31" t="n"/>
      <c r="K318" s="32" t="n"/>
      <c r="L318" s="32" t="n"/>
      <c r="M318" s="31" t="n"/>
      <c r="N318" s="32" t="n"/>
      <c r="O318" s="32" t="n"/>
      <c r="P318" s="33">
        <f>IF(J318="","",TODAY()-J318)</f>
        <v/>
      </c>
      <c r="Q318" s="5">
        <f>IF(AND(M318&lt;&gt;"",M318&lt;TODAY(),ISNA(MATCH(H318,{"Won","Lost","Do not contact"},0))),"OVERDUE","")</f>
        <v/>
      </c>
    </row>
    <row r="319">
      <c r="A319" s="31" t="n"/>
      <c r="B319" s="32" t="n"/>
      <c r="C319" s="32" t="n"/>
      <c r="D319" s="32" t="n"/>
      <c r="E319" s="32" t="n"/>
      <c r="F319" s="32" t="n"/>
      <c r="G319" s="32" t="n"/>
      <c r="H319" s="32" t="n"/>
      <c r="I319" s="32" t="n"/>
      <c r="J319" s="31" t="n"/>
      <c r="K319" s="32" t="n"/>
      <c r="L319" s="32" t="n"/>
      <c r="M319" s="31" t="n"/>
      <c r="N319" s="32" t="n"/>
      <c r="O319" s="32" t="n"/>
      <c r="P319" s="33">
        <f>IF(J319="","",TODAY()-J319)</f>
        <v/>
      </c>
      <c r="Q319" s="5">
        <f>IF(AND(M319&lt;&gt;"",M319&lt;TODAY(),ISNA(MATCH(H319,{"Won","Lost","Do not contact"},0))),"OVERDUE","")</f>
        <v/>
      </c>
    </row>
    <row r="320">
      <c r="A320" s="31" t="n"/>
      <c r="B320" s="32" t="n"/>
      <c r="C320" s="32" t="n"/>
      <c r="D320" s="32" t="n"/>
      <c r="E320" s="32" t="n"/>
      <c r="F320" s="32" t="n"/>
      <c r="G320" s="32" t="n"/>
      <c r="H320" s="32" t="n"/>
      <c r="I320" s="32" t="n"/>
      <c r="J320" s="31" t="n"/>
      <c r="K320" s="32" t="n"/>
      <c r="L320" s="32" t="n"/>
      <c r="M320" s="31" t="n"/>
      <c r="N320" s="32" t="n"/>
      <c r="O320" s="32" t="n"/>
      <c r="P320" s="33">
        <f>IF(J320="","",TODAY()-J320)</f>
        <v/>
      </c>
      <c r="Q320" s="5">
        <f>IF(AND(M320&lt;&gt;"",M320&lt;TODAY(),ISNA(MATCH(H320,{"Won","Lost","Do not contact"},0))),"OVERDUE","")</f>
        <v/>
      </c>
    </row>
    <row r="321">
      <c r="A321" s="31" t="n"/>
      <c r="B321" s="32" t="n"/>
      <c r="C321" s="32" t="n"/>
      <c r="D321" s="32" t="n"/>
      <c r="E321" s="32" t="n"/>
      <c r="F321" s="32" t="n"/>
      <c r="G321" s="32" t="n"/>
      <c r="H321" s="32" t="n"/>
      <c r="I321" s="32" t="n"/>
      <c r="J321" s="31" t="n"/>
      <c r="K321" s="32" t="n"/>
      <c r="L321" s="32" t="n"/>
      <c r="M321" s="31" t="n"/>
      <c r="N321" s="32" t="n"/>
      <c r="O321" s="32" t="n"/>
      <c r="P321" s="33">
        <f>IF(J321="","",TODAY()-J321)</f>
        <v/>
      </c>
      <c r="Q321" s="5">
        <f>IF(AND(M321&lt;&gt;"",M321&lt;TODAY(),ISNA(MATCH(H321,{"Won","Lost","Do not contact"},0))),"OVERDUE","")</f>
        <v/>
      </c>
    </row>
    <row r="322">
      <c r="A322" s="31" t="n"/>
      <c r="B322" s="32" t="n"/>
      <c r="C322" s="32" t="n"/>
      <c r="D322" s="32" t="n"/>
      <c r="E322" s="32" t="n"/>
      <c r="F322" s="32" t="n"/>
      <c r="G322" s="32" t="n"/>
      <c r="H322" s="32" t="n"/>
      <c r="I322" s="32" t="n"/>
      <c r="J322" s="31" t="n"/>
      <c r="K322" s="32" t="n"/>
      <c r="L322" s="32" t="n"/>
      <c r="M322" s="31" t="n"/>
      <c r="N322" s="32" t="n"/>
      <c r="O322" s="32" t="n"/>
      <c r="P322" s="33">
        <f>IF(J322="","",TODAY()-J322)</f>
        <v/>
      </c>
      <c r="Q322" s="5">
        <f>IF(AND(M322&lt;&gt;"",M322&lt;TODAY(),ISNA(MATCH(H322,{"Won","Lost","Do not contact"},0))),"OVERDUE","")</f>
        <v/>
      </c>
    </row>
    <row r="323">
      <c r="A323" s="31" t="n"/>
      <c r="B323" s="32" t="n"/>
      <c r="C323" s="32" t="n"/>
      <c r="D323" s="32" t="n"/>
      <c r="E323" s="32" t="n"/>
      <c r="F323" s="32" t="n"/>
      <c r="G323" s="32" t="n"/>
      <c r="H323" s="32" t="n"/>
      <c r="I323" s="32" t="n"/>
      <c r="J323" s="31" t="n"/>
      <c r="K323" s="32" t="n"/>
      <c r="L323" s="32" t="n"/>
      <c r="M323" s="31" t="n"/>
      <c r="N323" s="32" t="n"/>
      <c r="O323" s="32" t="n"/>
      <c r="P323" s="33">
        <f>IF(J323="","",TODAY()-J323)</f>
        <v/>
      </c>
      <c r="Q323" s="5">
        <f>IF(AND(M323&lt;&gt;"",M323&lt;TODAY(),ISNA(MATCH(H323,{"Won","Lost","Do not contact"},0))),"OVERDUE","")</f>
        <v/>
      </c>
    </row>
    <row r="324">
      <c r="A324" s="31" t="n"/>
      <c r="B324" s="32" t="n"/>
      <c r="C324" s="32" t="n"/>
      <c r="D324" s="32" t="n"/>
      <c r="E324" s="32" t="n"/>
      <c r="F324" s="32" t="n"/>
      <c r="G324" s="32" t="n"/>
      <c r="H324" s="32" t="n"/>
      <c r="I324" s="32" t="n"/>
      <c r="J324" s="31" t="n"/>
      <c r="K324" s="32" t="n"/>
      <c r="L324" s="32" t="n"/>
      <c r="M324" s="31" t="n"/>
      <c r="N324" s="32" t="n"/>
      <c r="O324" s="32" t="n"/>
      <c r="P324" s="33">
        <f>IF(J324="","",TODAY()-J324)</f>
        <v/>
      </c>
      <c r="Q324" s="5">
        <f>IF(AND(M324&lt;&gt;"",M324&lt;TODAY(),ISNA(MATCH(H324,{"Won","Lost","Do not contact"},0))),"OVERDUE","")</f>
        <v/>
      </c>
    </row>
    <row r="325">
      <c r="A325" s="31" t="n"/>
      <c r="B325" s="32" t="n"/>
      <c r="C325" s="32" t="n"/>
      <c r="D325" s="32" t="n"/>
      <c r="E325" s="32" t="n"/>
      <c r="F325" s="32" t="n"/>
      <c r="G325" s="32" t="n"/>
      <c r="H325" s="32" t="n"/>
      <c r="I325" s="32" t="n"/>
      <c r="J325" s="31" t="n"/>
      <c r="K325" s="32" t="n"/>
      <c r="L325" s="32" t="n"/>
      <c r="M325" s="31" t="n"/>
      <c r="N325" s="32" t="n"/>
      <c r="O325" s="32" t="n"/>
      <c r="P325" s="33">
        <f>IF(J325="","",TODAY()-J325)</f>
        <v/>
      </c>
      <c r="Q325" s="5">
        <f>IF(AND(M325&lt;&gt;"",M325&lt;TODAY(),ISNA(MATCH(H325,{"Won","Lost","Do not contact"},0))),"OVERDUE","")</f>
        <v/>
      </c>
    </row>
    <row r="326">
      <c r="A326" s="31" t="n"/>
      <c r="B326" s="32" t="n"/>
      <c r="C326" s="32" t="n"/>
      <c r="D326" s="32" t="n"/>
      <c r="E326" s="32" t="n"/>
      <c r="F326" s="32" t="n"/>
      <c r="G326" s="32" t="n"/>
      <c r="H326" s="32" t="n"/>
      <c r="I326" s="32" t="n"/>
      <c r="J326" s="31" t="n"/>
      <c r="K326" s="32" t="n"/>
      <c r="L326" s="32" t="n"/>
      <c r="M326" s="31" t="n"/>
      <c r="N326" s="32" t="n"/>
      <c r="O326" s="32" t="n"/>
      <c r="P326" s="33">
        <f>IF(J326="","",TODAY()-J326)</f>
        <v/>
      </c>
      <c r="Q326" s="5">
        <f>IF(AND(M326&lt;&gt;"",M326&lt;TODAY(),ISNA(MATCH(H326,{"Won","Lost","Do not contact"},0))),"OVERDUE","")</f>
        <v/>
      </c>
    </row>
    <row r="327">
      <c r="A327" s="31" t="n"/>
      <c r="B327" s="32" t="n"/>
      <c r="C327" s="32" t="n"/>
      <c r="D327" s="32" t="n"/>
      <c r="E327" s="32" t="n"/>
      <c r="F327" s="32" t="n"/>
      <c r="G327" s="32" t="n"/>
      <c r="H327" s="32" t="n"/>
      <c r="I327" s="32" t="n"/>
      <c r="J327" s="31" t="n"/>
      <c r="K327" s="32" t="n"/>
      <c r="L327" s="32" t="n"/>
      <c r="M327" s="31" t="n"/>
      <c r="N327" s="32" t="n"/>
      <c r="O327" s="32" t="n"/>
      <c r="P327" s="33">
        <f>IF(J327="","",TODAY()-J327)</f>
        <v/>
      </c>
      <c r="Q327" s="5">
        <f>IF(AND(M327&lt;&gt;"",M327&lt;TODAY(),ISNA(MATCH(H327,{"Won","Lost","Do not contact"},0))),"OVERDUE","")</f>
        <v/>
      </c>
    </row>
    <row r="328">
      <c r="A328" s="31" t="n"/>
      <c r="B328" s="32" t="n"/>
      <c r="C328" s="32" t="n"/>
      <c r="D328" s="32" t="n"/>
      <c r="E328" s="32" t="n"/>
      <c r="F328" s="32" t="n"/>
      <c r="G328" s="32" t="n"/>
      <c r="H328" s="32" t="n"/>
      <c r="I328" s="32" t="n"/>
      <c r="J328" s="31" t="n"/>
      <c r="K328" s="32" t="n"/>
      <c r="L328" s="32" t="n"/>
      <c r="M328" s="31" t="n"/>
      <c r="N328" s="32" t="n"/>
      <c r="O328" s="32" t="n"/>
      <c r="P328" s="33">
        <f>IF(J328="","",TODAY()-J328)</f>
        <v/>
      </c>
      <c r="Q328" s="5">
        <f>IF(AND(M328&lt;&gt;"",M328&lt;TODAY(),ISNA(MATCH(H328,{"Won","Lost","Do not contact"},0))),"OVERDUE","")</f>
        <v/>
      </c>
    </row>
    <row r="329">
      <c r="A329" s="31" t="n"/>
      <c r="B329" s="32" t="n"/>
      <c r="C329" s="32" t="n"/>
      <c r="D329" s="32" t="n"/>
      <c r="E329" s="32" t="n"/>
      <c r="F329" s="32" t="n"/>
      <c r="G329" s="32" t="n"/>
      <c r="H329" s="32" t="n"/>
      <c r="I329" s="32" t="n"/>
      <c r="J329" s="31" t="n"/>
      <c r="K329" s="32" t="n"/>
      <c r="L329" s="32" t="n"/>
      <c r="M329" s="31" t="n"/>
      <c r="N329" s="32" t="n"/>
      <c r="O329" s="32" t="n"/>
      <c r="P329" s="33">
        <f>IF(J329="","",TODAY()-J329)</f>
        <v/>
      </c>
      <c r="Q329" s="5">
        <f>IF(AND(M329&lt;&gt;"",M329&lt;TODAY(),ISNA(MATCH(H329,{"Won","Lost","Do not contact"},0))),"OVERDUE","")</f>
        <v/>
      </c>
    </row>
    <row r="330">
      <c r="A330" s="31" t="n"/>
      <c r="B330" s="32" t="n"/>
      <c r="C330" s="32" t="n"/>
      <c r="D330" s="32" t="n"/>
      <c r="E330" s="32" t="n"/>
      <c r="F330" s="32" t="n"/>
      <c r="G330" s="32" t="n"/>
      <c r="H330" s="32" t="n"/>
      <c r="I330" s="32" t="n"/>
      <c r="J330" s="31" t="n"/>
      <c r="K330" s="32" t="n"/>
      <c r="L330" s="32" t="n"/>
      <c r="M330" s="31" t="n"/>
      <c r="N330" s="32" t="n"/>
      <c r="O330" s="32" t="n"/>
      <c r="P330" s="33">
        <f>IF(J330="","",TODAY()-J330)</f>
        <v/>
      </c>
      <c r="Q330" s="5">
        <f>IF(AND(M330&lt;&gt;"",M330&lt;TODAY(),ISNA(MATCH(H330,{"Won","Lost","Do not contact"},0))),"OVERDUE","")</f>
        <v/>
      </c>
    </row>
    <row r="331">
      <c r="A331" s="31" t="n"/>
      <c r="B331" s="32" t="n"/>
      <c r="C331" s="32" t="n"/>
      <c r="D331" s="32" t="n"/>
      <c r="E331" s="32" t="n"/>
      <c r="F331" s="32" t="n"/>
      <c r="G331" s="32" t="n"/>
      <c r="H331" s="32" t="n"/>
      <c r="I331" s="32" t="n"/>
      <c r="J331" s="31" t="n"/>
      <c r="K331" s="32" t="n"/>
      <c r="L331" s="32" t="n"/>
      <c r="M331" s="31" t="n"/>
      <c r="N331" s="32" t="n"/>
      <c r="O331" s="32" t="n"/>
      <c r="P331" s="33">
        <f>IF(J331="","",TODAY()-J331)</f>
        <v/>
      </c>
      <c r="Q331" s="5">
        <f>IF(AND(M331&lt;&gt;"",M331&lt;TODAY(),ISNA(MATCH(H331,{"Won","Lost","Do not contact"},0))),"OVERDUE","")</f>
        <v/>
      </c>
    </row>
    <row r="332">
      <c r="A332" s="31" t="n"/>
      <c r="B332" s="32" t="n"/>
      <c r="C332" s="32" t="n"/>
      <c r="D332" s="32" t="n"/>
      <c r="E332" s="32" t="n"/>
      <c r="F332" s="32" t="n"/>
      <c r="G332" s="32" t="n"/>
      <c r="H332" s="32" t="n"/>
      <c r="I332" s="32" t="n"/>
      <c r="J332" s="31" t="n"/>
      <c r="K332" s="32" t="n"/>
      <c r="L332" s="32" t="n"/>
      <c r="M332" s="31" t="n"/>
      <c r="N332" s="32" t="n"/>
      <c r="O332" s="32" t="n"/>
      <c r="P332" s="33">
        <f>IF(J332="","",TODAY()-J332)</f>
        <v/>
      </c>
      <c r="Q332" s="5">
        <f>IF(AND(M332&lt;&gt;"",M332&lt;TODAY(),ISNA(MATCH(H332,{"Won","Lost","Do not contact"},0))),"OVERDUE","")</f>
        <v/>
      </c>
    </row>
    <row r="333">
      <c r="A333" s="31" t="n"/>
      <c r="B333" s="32" t="n"/>
      <c r="C333" s="32" t="n"/>
      <c r="D333" s="32" t="n"/>
      <c r="E333" s="32" t="n"/>
      <c r="F333" s="32" t="n"/>
      <c r="G333" s="32" t="n"/>
      <c r="H333" s="32" t="n"/>
      <c r="I333" s="32" t="n"/>
      <c r="J333" s="31" t="n"/>
      <c r="K333" s="32" t="n"/>
      <c r="L333" s="32" t="n"/>
      <c r="M333" s="31" t="n"/>
      <c r="N333" s="32" t="n"/>
      <c r="O333" s="32" t="n"/>
      <c r="P333" s="33">
        <f>IF(J333="","",TODAY()-J333)</f>
        <v/>
      </c>
      <c r="Q333" s="5">
        <f>IF(AND(M333&lt;&gt;"",M333&lt;TODAY(),ISNA(MATCH(H333,{"Won","Lost","Do not contact"},0))),"OVERDUE","")</f>
        <v/>
      </c>
    </row>
    <row r="334">
      <c r="A334" s="31" t="n"/>
      <c r="B334" s="32" t="n"/>
      <c r="C334" s="32" t="n"/>
      <c r="D334" s="32" t="n"/>
      <c r="E334" s="32" t="n"/>
      <c r="F334" s="32" t="n"/>
      <c r="G334" s="32" t="n"/>
      <c r="H334" s="32" t="n"/>
      <c r="I334" s="32" t="n"/>
      <c r="J334" s="31" t="n"/>
      <c r="K334" s="32" t="n"/>
      <c r="L334" s="32" t="n"/>
      <c r="M334" s="31" t="n"/>
      <c r="N334" s="32" t="n"/>
      <c r="O334" s="32" t="n"/>
      <c r="P334" s="33">
        <f>IF(J334="","",TODAY()-J334)</f>
        <v/>
      </c>
      <c r="Q334" s="5">
        <f>IF(AND(M334&lt;&gt;"",M334&lt;TODAY(),ISNA(MATCH(H334,{"Won","Lost","Do not contact"},0))),"OVERDUE","")</f>
        <v/>
      </c>
    </row>
    <row r="335">
      <c r="A335" s="31" t="n"/>
      <c r="B335" s="32" t="n"/>
      <c r="C335" s="32" t="n"/>
      <c r="D335" s="32" t="n"/>
      <c r="E335" s="32" t="n"/>
      <c r="F335" s="32" t="n"/>
      <c r="G335" s="32" t="n"/>
      <c r="H335" s="32" t="n"/>
      <c r="I335" s="32" t="n"/>
      <c r="J335" s="31" t="n"/>
      <c r="K335" s="32" t="n"/>
      <c r="L335" s="32" t="n"/>
      <c r="M335" s="31" t="n"/>
      <c r="N335" s="32" t="n"/>
      <c r="O335" s="32" t="n"/>
      <c r="P335" s="33">
        <f>IF(J335="","",TODAY()-J335)</f>
        <v/>
      </c>
      <c r="Q335" s="5">
        <f>IF(AND(M335&lt;&gt;"",M335&lt;TODAY(),ISNA(MATCH(H335,{"Won","Lost","Do not contact"},0))),"OVERDUE","")</f>
        <v/>
      </c>
    </row>
    <row r="336">
      <c r="A336" s="31" t="n"/>
      <c r="B336" s="32" t="n"/>
      <c r="C336" s="32" t="n"/>
      <c r="D336" s="32" t="n"/>
      <c r="E336" s="32" t="n"/>
      <c r="F336" s="32" t="n"/>
      <c r="G336" s="32" t="n"/>
      <c r="H336" s="32" t="n"/>
      <c r="I336" s="32" t="n"/>
      <c r="J336" s="31" t="n"/>
      <c r="K336" s="32" t="n"/>
      <c r="L336" s="32" t="n"/>
      <c r="M336" s="31" t="n"/>
      <c r="N336" s="32" t="n"/>
      <c r="O336" s="32" t="n"/>
      <c r="P336" s="33">
        <f>IF(J336="","",TODAY()-J336)</f>
        <v/>
      </c>
      <c r="Q336" s="5">
        <f>IF(AND(M336&lt;&gt;"",M336&lt;TODAY(),ISNA(MATCH(H336,{"Won","Lost","Do not contact"},0))),"OVERDUE","")</f>
        <v/>
      </c>
    </row>
    <row r="337">
      <c r="A337" s="31" t="n"/>
      <c r="B337" s="32" t="n"/>
      <c r="C337" s="32" t="n"/>
      <c r="D337" s="32" t="n"/>
      <c r="E337" s="32" t="n"/>
      <c r="F337" s="32" t="n"/>
      <c r="G337" s="32" t="n"/>
      <c r="H337" s="32" t="n"/>
      <c r="I337" s="32" t="n"/>
      <c r="J337" s="31" t="n"/>
      <c r="K337" s="32" t="n"/>
      <c r="L337" s="32" t="n"/>
      <c r="M337" s="31" t="n"/>
      <c r="N337" s="32" t="n"/>
      <c r="O337" s="32" t="n"/>
      <c r="P337" s="33">
        <f>IF(J337="","",TODAY()-J337)</f>
        <v/>
      </c>
      <c r="Q337" s="5">
        <f>IF(AND(M337&lt;&gt;"",M337&lt;TODAY(),ISNA(MATCH(H337,{"Won","Lost","Do not contact"},0))),"OVERDUE","")</f>
        <v/>
      </c>
    </row>
    <row r="338">
      <c r="A338" s="31" t="n"/>
      <c r="B338" s="32" t="n"/>
      <c r="C338" s="32" t="n"/>
      <c r="D338" s="32" t="n"/>
      <c r="E338" s="32" t="n"/>
      <c r="F338" s="32" t="n"/>
      <c r="G338" s="32" t="n"/>
      <c r="H338" s="32" t="n"/>
      <c r="I338" s="32" t="n"/>
      <c r="J338" s="31" t="n"/>
      <c r="K338" s="32" t="n"/>
      <c r="L338" s="32" t="n"/>
      <c r="M338" s="31" t="n"/>
      <c r="N338" s="32" t="n"/>
      <c r="O338" s="32" t="n"/>
      <c r="P338" s="33">
        <f>IF(J338="","",TODAY()-J338)</f>
        <v/>
      </c>
      <c r="Q338" s="5">
        <f>IF(AND(M338&lt;&gt;"",M338&lt;TODAY(),ISNA(MATCH(H338,{"Won","Lost","Do not contact"},0))),"OVERDUE","")</f>
        <v/>
      </c>
    </row>
    <row r="339">
      <c r="A339" s="31" t="n"/>
      <c r="B339" s="32" t="n"/>
      <c r="C339" s="32" t="n"/>
      <c r="D339" s="32" t="n"/>
      <c r="E339" s="32" t="n"/>
      <c r="F339" s="32" t="n"/>
      <c r="G339" s="32" t="n"/>
      <c r="H339" s="32" t="n"/>
      <c r="I339" s="32" t="n"/>
      <c r="J339" s="31" t="n"/>
      <c r="K339" s="32" t="n"/>
      <c r="L339" s="32" t="n"/>
      <c r="M339" s="31" t="n"/>
      <c r="N339" s="32" t="n"/>
      <c r="O339" s="32" t="n"/>
      <c r="P339" s="33">
        <f>IF(J339="","",TODAY()-J339)</f>
        <v/>
      </c>
      <c r="Q339" s="5">
        <f>IF(AND(M339&lt;&gt;"",M339&lt;TODAY(),ISNA(MATCH(H339,{"Won","Lost","Do not contact"},0))),"OVERDUE","")</f>
        <v/>
      </c>
    </row>
    <row r="340">
      <c r="A340" s="31" t="n"/>
      <c r="B340" s="32" t="n"/>
      <c r="C340" s="32" t="n"/>
      <c r="D340" s="32" t="n"/>
      <c r="E340" s="32" t="n"/>
      <c r="F340" s="32" t="n"/>
      <c r="G340" s="32" t="n"/>
      <c r="H340" s="32" t="n"/>
      <c r="I340" s="32" t="n"/>
      <c r="J340" s="31" t="n"/>
      <c r="K340" s="32" t="n"/>
      <c r="L340" s="32" t="n"/>
      <c r="M340" s="31" t="n"/>
      <c r="N340" s="32" t="n"/>
      <c r="O340" s="32" t="n"/>
      <c r="P340" s="33">
        <f>IF(J340="","",TODAY()-J340)</f>
        <v/>
      </c>
      <c r="Q340" s="5">
        <f>IF(AND(M340&lt;&gt;"",M340&lt;TODAY(),ISNA(MATCH(H340,{"Won","Lost","Do not contact"},0))),"OVERDUE","")</f>
        <v/>
      </c>
    </row>
    <row r="341">
      <c r="A341" s="31" t="n"/>
      <c r="B341" s="32" t="n"/>
      <c r="C341" s="32" t="n"/>
      <c r="D341" s="32" t="n"/>
      <c r="E341" s="32" t="n"/>
      <c r="F341" s="32" t="n"/>
      <c r="G341" s="32" t="n"/>
      <c r="H341" s="32" t="n"/>
      <c r="I341" s="32" t="n"/>
      <c r="J341" s="31" t="n"/>
      <c r="K341" s="32" t="n"/>
      <c r="L341" s="32" t="n"/>
      <c r="M341" s="31" t="n"/>
      <c r="N341" s="32" t="n"/>
      <c r="O341" s="32" t="n"/>
      <c r="P341" s="33">
        <f>IF(J341="","",TODAY()-J341)</f>
        <v/>
      </c>
      <c r="Q341" s="5">
        <f>IF(AND(M341&lt;&gt;"",M341&lt;TODAY(),ISNA(MATCH(H341,{"Won","Lost","Do not contact"},0))),"OVERDUE","")</f>
        <v/>
      </c>
    </row>
    <row r="342">
      <c r="A342" s="31" t="n"/>
      <c r="B342" s="32" t="n"/>
      <c r="C342" s="32" t="n"/>
      <c r="D342" s="32" t="n"/>
      <c r="E342" s="32" t="n"/>
      <c r="F342" s="32" t="n"/>
      <c r="G342" s="32" t="n"/>
      <c r="H342" s="32" t="n"/>
      <c r="I342" s="32" t="n"/>
      <c r="J342" s="31" t="n"/>
      <c r="K342" s="32" t="n"/>
      <c r="L342" s="32" t="n"/>
      <c r="M342" s="31" t="n"/>
      <c r="N342" s="32" t="n"/>
      <c r="O342" s="32" t="n"/>
      <c r="P342" s="33">
        <f>IF(J342="","",TODAY()-J342)</f>
        <v/>
      </c>
      <c r="Q342" s="5">
        <f>IF(AND(M342&lt;&gt;"",M342&lt;TODAY(),ISNA(MATCH(H342,{"Won","Lost","Do not contact"},0))),"OVERDUE","")</f>
        <v/>
      </c>
    </row>
    <row r="343">
      <c r="A343" s="31" t="n"/>
      <c r="B343" s="32" t="n"/>
      <c r="C343" s="32" t="n"/>
      <c r="D343" s="32" t="n"/>
      <c r="E343" s="32" t="n"/>
      <c r="F343" s="32" t="n"/>
      <c r="G343" s="32" t="n"/>
      <c r="H343" s="32" t="n"/>
      <c r="I343" s="32" t="n"/>
      <c r="J343" s="31" t="n"/>
      <c r="K343" s="32" t="n"/>
      <c r="L343" s="32" t="n"/>
      <c r="M343" s="31" t="n"/>
      <c r="N343" s="32" t="n"/>
      <c r="O343" s="32" t="n"/>
      <c r="P343" s="33">
        <f>IF(J343="","",TODAY()-J343)</f>
        <v/>
      </c>
      <c r="Q343" s="5">
        <f>IF(AND(M343&lt;&gt;"",M343&lt;TODAY(),ISNA(MATCH(H343,{"Won","Lost","Do not contact"},0))),"OVERDUE","")</f>
        <v/>
      </c>
    </row>
    <row r="344">
      <c r="A344" s="31" t="n"/>
      <c r="B344" s="32" t="n"/>
      <c r="C344" s="32" t="n"/>
      <c r="D344" s="32" t="n"/>
      <c r="E344" s="32" t="n"/>
      <c r="F344" s="32" t="n"/>
      <c r="G344" s="32" t="n"/>
      <c r="H344" s="32" t="n"/>
      <c r="I344" s="32" t="n"/>
      <c r="J344" s="31" t="n"/>
      <c r="K344" s="32" t="n"/>
      <c r="L344" s="32" t="n"/>
      <c r="M344" s="31" t="n"/>
      <c r="N344" s="32" t="n"/>
      <c r="O344" s="32" t="n"/>
      <c r="P344" s="33">
        <f>IF(J344="","",TODAY()-J344)</f>
        <v/>
      </c>
      <c r="Q344" s="5">
        <f>IF(AND(M344&lt;&gt;"",M344&lt;TODAY(),ISNA(MATCH(H344,{"Won","Lost","Do not contact"},0))),"OVERDUE","")</f>
        <v/>
      </c>
    </row>
    <row r="345">
      <c r="A345" s="31" t="n"/>
      <c r="B345" s="32" t="n"/>
      <c r="C345" s="32" t="n"/>
      <c r="D345" s="32" t="n"/>
      <c r="E345" s="32" t="n"/>
      <c r="F345" s="32" t="n"/>
      <c r="G345" s="32" t="n"/>
      <c r="H345" s="32" t="n"/>
      <c r="I345" s="32" t="n"/>
      <c r="J345" s="31" t="n"/>
      <c r="K345" s="32" t="n"/>
      <c r="L345" s="32" t="n"/>
      <c r="M345" s="31" t="n"/>
      <c r="N345" s="32" t="n"/>
      <c r="O345" s="32" t="n"/>
      <c r="P345" s="33">
        <f>IF(J345="","",TODAY()-J345)</f>
        <v/>
      </c>
      <c r="Q345" s="5">
        <f>IF(AND(M345&lt;&gt;"",M345&lt;TODAY(),ISNA(MATCH(H345,{"Won","Lost","Do not contact"},0))),"OVERDUE","")</f>
        <v/>
      </c>
    </row>
    <row r="346">
      <c r="A346" s="31" t="n"/>
      <c r="B346" s="32" t="n"/>
      <c r="C346" s="32" t="n"/>
      <c r="D346" s="32" t="n"/>
      <c r="E346" s="32" t="n"/>
      <c r="F346" s="32" t="n"/>
      <c r="G346" s="32" t="n"/>
      <c r="H346" s="32" t="n"/>
      <c r="I346" s="32" t="n"/>
      <c r="J346" s="31" t="n"/>
      <c r="K346" s="32" t="n"/>
      <c r="L346" s="32" t="n"/>
      <c r="M346" s="31" t="n"/>
      <c r="N346" s="32" t="n"/>
      <c r="O346" s="32" t="n"/>
      <c r="P346" s="33">
        <f>IF(J346="","",TODAY()-J346)</f>
        <v/>
      </c>
      <c r="Q346" s="5">
        <f>IF(AND(M346&lt;&gt;"",M346&lt;TODAY(),ISNA(MATCH(H346,{"Won","Lost","Do not contact"},0))),"OVERDUE","")</f>
        <v/>
      </c>
    </row>
    <row r="347">
      <c r="A347" s="31" t="n"/>
      <c r="B347" s="32" t="n"/>
      <c r="C347" s="32" t="n"/>
      <c r="D347" s="32" t="n"/>
      <c r="E347" s="32" t="n"/>
      <c r="F347" s="32" t="n"/>
      <c r="G347" s="32" t="n"/>
      <c r="H347" s="32" t="n"/>
      <c r="I347" s="32" t="n"/>
      <c r="J347" s="31" t="n"/>
      <c r="K347" s="32" t="n"/>
      <c r="L347" s="32" t="n"/>
      <c r="M347" s="31" t="n"/>
      <c r="N347" s="32" t="n"/>
      <c r="O347" s="32" t="n"/>
      <c r="P347" s="33">
        <f>IF(J347="","",TODAY()-J347)</f>
        <v/>
      </c>
      <c r="Q347" s="5">
        <f>IF(AND(M347&lt;&gt;"",M347&lt;TODAY(),ISNA(MATCH(H347,{"Won","Lost","Do not contact"},0))),"OVERDUE","")</f>
        <v/>
      </c>
    </row>
    <row r="348">
      <c r="A348" s="31" t="n"/>
      <c r="B348" s="32" t="n"/>
      <c r="C348" s="32" t="n"/>
      <c r="D348" s="32" t="n"/>
      <c r="E348" s="32" t="n"/>
      <c r="F348" s="32" t="n"/>
      <c r="G348" s="32" t="n"/>
      <c r="H348" s="32" t="n"/>
      <c r="I348" s="32" t="n"/>
      <c r="J348" s="31" t="n"/>
      <c r="K348" s="32" t="n"/>
      <c r="L348" s="32" t="n"/>
      <c r="M348" s="31" t="n"/>
      <c r="N348" s="32" t="n"/>
      <c r="O348" s="32" t="n"/>
      <c r="P348" s="33">
        <f>IF(J348="","",TODAY()-J348)</f>
        <v/>
      </c>
      <c r="Q348" s="5">
        <f>IF(AND(M348&lt;&gt;"",M348&lt;TODAY(),ISNA(MATCH(H348,{"Won","Lost","Do not contact"},0))),"OVERDUE","")</f>
        <v/>
      </c>
    </row>
    <row r="349">
      <c r="A349" s="31" t="n"/>
      <c r="B349" s="32" t="n"/>
      <c r="C349" s="32" t="n"/>
      <c r="D349" s="32" t="n"/>
      <c r="E349" s="32" t="n"/>
      <c r="F349" s="32" t="n"/>
      <c r="G349" s="32" t="n"/>
      <c r="H349" s="32" t="n"/>
      <c r="I349" s="32" t="n"/>
      <c r="J349" s="31" t="n"/>
      <c r="K349" s="32" t="n"/>
      <c r="L349" s="32" t="n"/>
      <c r="M349" s="31" t="n"/>
      <c r="N349" s="32" t="n"/>
      <c r="O349" s="32" t="n"/>
      <c r="P349" s="33">
        <f>IF(J349="","",TODAY()-J349)</f>
        <v/>
      </c>
      <c r="Q349" s="5">
        <f>IF(AND(M349&lt;&gt;"",M349&lt;TODAY(),ISNA(MATCH(H349,{"Won","Lost","Do not contact"},0))),"OVERDUE","")</f>
        <v/>
      </c>
    </row>
    <row r="350">
      <c r="A350" s="31" t="n"/>
      <c r="B350" s="32" t="n"/>
      <c r="C350" s="32" t="n"/>
      <c r="D350" s="32" t="n"/>
      <c r="E350" s="32" t="n"/>
      <c r="F350" s="32" t="n"/>
      <c r="G350" s="32" t="n"/>
      <c r="H350" s="32" t="n"/>
      <c r="I350" s="32" t="n"/>
      <c r="J350" s="31" t="n"/>
      <c r="K350" s="32" t="n"/>
      <c r="L350" s="32" t="n"/>
      <c r="M350" s="31" t="n"/>
      <c r="N350" s="32" t="n"/>
      <c r="O350" s="32" t="n"/>
      <c r="P350" s="33">
        <f>IF(J350="","",TODAY()-J350)</f>
        <v/>
      </c>
      <c r="Q350" s="5">
        <f>IF(AND(M350&lt;&gt;"",M350&lt;TODAY(),ISNA(MATCH(H350,{"Won","Lost","Do not contact"},0))),"OVERDUE","")</f>
        <v/>
      </c>
    </row>
    <row r="351">
      <c r="A351" s="31" t="n"/>
      <c r="B351" s="32" t="n"/>
      <c r="C351" s="32" t="n"/>
      <c r="D351" s="32" t="n"/>
      <c r="E351" s="32" t="n"/>
      <c r="F351" s="32" t="n"/>
      <c r="G351" s="32" t="n"/>
      <c r="H351" s="32" t="n"/>
      <c r="I351" s="32" t="n"/>
      <c r="J351" s="31" t="n"/>
      <c r="K351" s="32" t="n"/>
      <c r="L351" s="32" t="n"/>
      <c r="M351" s="31" t="n"/>
      <c r="N351" s="32" t="n"/>
      <c r="O351" s="32" t="n"/>
      <c r="P351" s="33">
        <f>IF(J351="","",TODAY()-J351)</f>
        <v/>
      </c>
      <c r="Q351" s="5">
        <f>IF(AND(M351&lt;&gt;"",M351&lt;TODAY(),ISNA(MATCH(H351,{"Won","Lost","Do not contact"},0))),"OVERDUE","")</f>
        <v/>
      </c>
    </row>
    <row r="352">
      <c r="A352" s="31" t="n"/>
      <c r="B352" s="32" t="n"/>
      <c r="C352" s="32" t="n"/>
      <c r="D352" s="32" t="n"/>
      <c r="E352" s="32" t="n"/>
      <c r="F352" s="32" t="n"/>
      <c r="G352" s="32" t="n"/>
      <c r="H352" s="32" t="n"/>
      <c r="I352" s="32" t="n"/>
      <c r="J352" s="31" t="n"/>
      <c r="K352" s="32" t="n"/>
      <c r="L352" s="32" t="n"/>
      <c r="M352" s="31" t="n"/>
      <c r="N352" s="32" t="n"/>
      <c r="O352" s="32" t="n"/>
      <c r="P352" s="33">
        <f>IF(J352="","",TODAY()-J352)</f>
        <v/>
      </c>
      <c r="Q352" s="5">
        <f>IF(AND(M352&lt;&gt;"",M352&lt;TODAY(),ISNA(MATCH(H352,{"Won","Lost","Do not contact"},0))),"OVERDUE","")</f>
        <v/>
      </c>
    </row>
    <row r="353">
      <c r="A353" s="31" t="n"/>
      <c r="B353" s="32" t="n"/>
      <c r="C353" s="32" t="n"/>
      <c r="D353" s="32" t="n"/>
      <c r="E353" s="32" t="n"/>
      <c r="F353" s="32" t="n"/>
      <c r="G353" s="32" t="n"/>
      <c r="H353" s="32" t="n"/>
      <c r="I353" s="32" t="n"/>
      <c r="J353" s="31" t="n"/>
      <c r="K353" s="32" t="n"/>
      <c r="L353" s="32" t="n"/>
      <c r="M353" s="31" t="n"/>
      <c r="N353" s="32" t="n"/>
      <c r="O353" s="32" t="n"/>
      <c r="P353" s="33">
        <f>IF(J353="","",TODAY()-J353)</f>
        <v/>
      </c>
      <c r="Q353" s="5">
        <f>IF(AND(M353&lt;&gt;"",M353&lt;TODAY(),ISNA(MATCH(H353,{"Won","Lost","Do not contact"},0))),"OVERDUE","")</f>
        <v/>
      </c>
    </row>
    <row r="354">
      <c r="A354" s="31" t="n"/>
      <c r="B354" s="32" t="n"/>
      <c r="C354" s="32" t="n"/>
      <c r="D354" s="32" t="n"/>
      <c r="E354" s="32" t="n"/>
      <c r="F354" s="32" t="n"/>
      <c r="G354" s="32" t="n"/>
      <c r="H354" s="32" t="n"/>
      <c r="I354" s="32" t="n"/>
      <c r="J354" s="31" t="n"/>
      <c r="K354" s="32" t="n"/>
      <c r="L354" s="32" t="n"/>
      <c r="M354" s="31" t="n"/>
      <c r="N354" s="32" t="n"/>
      <c r="O354" s="32" t="n"/>
      <c r="P354" s="33">
        <f>IF(J354="","",TODAY()-J354)</f>
        <v/>
      </c>
      <c r="Q354" s="5">
        <f>IF(AND(M354&lt;&gt;"",M354&lt;TODAY(),ISNA(MATCH(H354,{"Won","Lost","Do not contact"},0))),"OVERDUE","")</f>
        <v/>
      </c>
    </row>
    <row r="355">
      <c r="A355" s="31" t="n"/>
      <c r="B355" s="32" t="n"/>
      <c r="C355" s="32" t="n"/>
      <c r="D355" s="32" t="n"/>
      <c r="E355" s="32" t="n"/>
      <c r="F355" s="32" t="n"/>
      <c r="G355" s="32" t="n"/>
      <c r="H355" s="32" t="n"/>
      <c r="I355" s="32" t="n"/>
      <c r="J355" s="31" t="n"/>
      <c r="K355" s="32" t="n"/>
      <c r="L355" s="32" t="n"/>
      <c r="M355" s="31" t="n"/>
      <c r="N355" s="32" t="n"/>
      <c r="O355" s="32" t="n"/>
      <c r="P355" s="33">
        <f>IF(J355="","",TODAY()-J355)</f>
        <v/>
      </c>
      <c r="Q355" s="5">
        <f>IF(AND(M355&lt;&gt;"",M355&lt;TODAY(),ISNA(MATCH(H355,{"Won","Lost","Do not contact"},0))),"OVERDUE","")</f>
        <v/>
      </c>
    </row>
    <row r="356">
      <c r="A356" s="31" t="n"/>
      <c r="B356" s="32" t="n"/>
      <c r="C356" s="32" t="n"/>
      <c r="D356" s="32" t="n"/>
      <c r="E356" s="32" t="n"/>
      <c r="F356" s="32" t="n"/>
      <c r="G356" s="32" t="n"/>
      <c r="H356" s="32" t="n"/>
      <c r="I356" s="32" t="n"/>
      <c r="J356" s="31" t="n"/>
      <c r="K356" s="32" t="n"/>
      <c r="L356" s="32" t="n"/>
      <c r="M356" s="31" t="n"/>
      <c r="N356" s="32" t="n"/>
      <c r="O356" s="32" t="n"/>
      <c r="P356" s="33">
        <f>IF(J356="","",TODAY()-J356)</f>
        <v/>
      </c>
      <c r="Q356" s="5">
        <f>IF(AND(M356&lt;&gt;"",M356&lt;TODAY(),ISNA(MATCH(H356,{"Won","Lost","Do not contact"},0))),"OVERDUE","")</f>
        <v/>
      </c>
    </row>
    <row r="357">
      <c r="A357" s="31" t="n"/>
      <c r="B357" s="32" t="n"/>
      <c r="C357" s="32" t="n"/>
      <c r="D357" s="32" t="n"/>
      <c r="E357" s="32" t="n"/>
      <c r="F357" s="32" t="n"/>
      <c r="G357" s="32" t="n"/>
      <c r="H357" s="32" t="n"/>
      <c r="I357" s="32" t="n"/>
      <c r="J357" s="31" t="n"/>
      <c r="K357" s="32" t="n"/>
      <c r="L357" s="32" t="n"/>
      <c r="M357" s="31" t="n"/>
      <c r="N357" s="32" t="n"/>
      <c r="O357" s="32" t="n"/>
      <c r="P357" s="33">
        <f>IF(J357="","",TODAY()-J357)</f>
        <v/>
      </c>
      <c r="Q357" s="5">
        <f>IF(AND(M357&lt;&gt;"",M357&lt;TODAY(),ISNA(MATCH(H357,{"Won","Lost","Do not contact"},0))),"OVERDUE","")</f>
        <v/>
      </c>
    </row>
    <row r="358">
      <c r="A358" s="31" t="n"/>
      <c r="B358" s="32" t="n"/>
      <c r="C358" s="32" t="n"/>
      <c r="D358" s="32" t="n"/>
      <c r="E358" s="32" t="n"/>
      <c r="F358" s="32" t="n"/>
      <c r="G358" s="32" t="n"/>
      <c r="H358" s="32" t="n"/>
      <c r="I358" s="32" t="n"/>
      <c r="J358" s="31" t="n"/>
      <c r="K358" s="32" t="n"/>
      <c r="L358" s="32" t="n"/>
      <c r="M358" s="31" t="n"/>
      <c r="N358" s="32" t="n"/>
      <c r="O358" s="32" t="n"/>
      <c r="P358" s="33">
        <f>IF(J358="","",TODAY()-J358)</f>
        <v/>
      </c>
      <c r="Q358" s="5">
        <f>IF(AND(M358&lt;&gt;"",M358&lt;TODAY(),ISNA(MATCH(H358,{"Won","Lost","Do not contact"},0))),"OVERDUE","")</f>
        <v/>
      </c>
    </row>
    <row r="359">
      <c r="A359" s="31" t="n"/>
      <c r="B359" s="32" t="n"/>
      <c r="C359" s="32" t="n"/>
      <c r="D359" s="32" t="n"/>
      <c r="E359" s="32" t="n"/>
      <c r="F359" s="32" t="n"/>
      <c r="G359" s="32" t="n"/>
      <c r="H359" s="32" t="n"/>
      <c r="I359" s="32" t="n"/>
      <c r="J359" s="31" t="n"/>
      <c r="K359" s="32" t="n"/>
      <c r="L359" s="32" t="n"/>
      <c r="M359" s="31" t="n"/>
      <c r="N359" s="32" t="n"/>
      <c r="O359" s="32" t="n"/>
      <c r="P359" s="33">
        <f>IF(J359="","",TODAY()-J359)</f>
        <v/>
      </c>
      <c r="Q359" s="5">
        <f>IF(AND(M359&lt;&gt;"",M359&lt;TODAY(),ISNA(MATCH(H359,{"Won","Lost","Do not contact"},0))),"OVERDUE","")</f>
        <v/>
      </c>
    </row>
    <row r="360">
      <c r="A360" s="31" t="n"/>
      <c r="B360" s="32" t="n"/>
      <c r="C360" s="32" t="n"/>
      <c r="D360" s="32" t="n"/>
      <c r="E360" s="32" t="n"/>
      <c r="F360" s="32" t="n"/>
      <c r="G360" s="32" t="n"/>
      <c r="H360" s="32" t="n"/>
      <c r="I360" s="32" t="n"/>
      <c r="J360" s="31" t="n"/>
      <c r="K360" s="32" t="n"/>
      <c r="L360" s="32" t="n"/>
      <c r="M360" s="31" t="n"/>
      <c r="N360" s="32" t="n"/>
      <c r="O360" s="32" t="n"/>
      <c r="P360" s="33">
        <f>IF(J360="","",TODAY()-J360)</f>
        <v/>
      </c>
      <c r="Q360" s="5">
        <f>IF(AND(M360&lt;&gt;"",M360&lt;TODAY(),ISNA(MATCH(H360,{"Won","Lost","Do not contact"},0))),"OVERDUE","")</f>
        <v/>
      </c>
    </row>
    <row r="361">
      <c r="A361" s="31" t="n"/>
      <c r="B361" s="32" t="n"/>
      <c r="C361" s="32" t="n"/>
      <c r="D361" s="32" t="n"/>
      <c r="E361" s="32" t="n"/>
      <c r="F361" s="32" t="n"/>
      <c r="G361" s="32" t="n"/>
      <c r="H361" s="32" t="n"/>
      <c r="I361" s="32" t="n"/>
      <c r="J361" s="31" t="n"/>
      <c r="K361" s="32" t="n"/>
      <c r="L361" s="32" t="n"/>
      <c r="M361" s="31" t="n"/>
      <c r="N361" s="32" t="n"/>
      <c r="O361" s="32" t="n"/>
      <c r="P361" s="33">
        <f>IF(J361="","",TODAY()-J361)</f>
        <v/>
      </c>
      <c r="Q361" s="5">
        <f>IF(AND(M361&lt;&gt;"",M361&lt;TODAY(),ISNA(MATCH(H361,{"Won","Lost","Do not contact"},0))),"OVERDUE","")</f>
        <v/>
      </c>
    </row>
    <row r="362">
      <c r="A362" s="31" t="n"/>
      <c r="B362" s="32" t="n"/>
      <c r="C362" s="32" t="n"/>
      <c r="D362" s="32" t="n"/>
      <c r="E362" s="32" t="n"/>
      <c r="F362" s="32" t="n"/>
      <c r="G362" s="32" t="n"/>
      <c r="H362" s="32" t="n"/>
      <c r="I362" s="32" t="n"/>
      <c r="J362" s="31" t="n"/>
      <c r="K362" s="32" t="n"/>
      <c r="L362" s="32" t="n"/>
      <c r="M362" s="31" t="n"/>
      <c r="N362" s="32" t="n"/>
      <c r="O362" s="32" t="n"/>
      <c r="P362" s="33">
        <f>IF(J362="","",TODAY()-J362)</f>
        <v/>
      </c>
      <c r="Q362" s="5">
        <f>IF(AND(M362&lt;&gt;"",M362&lt;TODAY(),ISNA(MATCH(H362,{"Won","Lost","Do not contact"},0))),"OVERDUE","")</f>
        <v/>
      </c>
    </row>
    <row r="363">
      <c r="A363" s="31" t="n"/>
      <c r="B363" s="32" t="n"/>
      <c r="C363" s="32" t="n"/>
      <c r="D363" s="32" t="n"/>
      <c r="E363" s="32" t="n"/>
      <c r="F363" s="32" t="n"/>
      <c r="G363" s="32" t="n"/>
      <c r="H363" s="32" t="n"/>
      <c r="I363" s="32" t="n"/>
      <c r="J363" s="31" t="n"/>
      <c r="K363" s="32" t="n"/>
      <c r="L363" s="32" t="n"/>
      <c r="M363" s="31" t="n"/>
      <c r="N363" s="32" t="n"/>
      <c r="O363" s="32" t="n"/>
      <c r="P363" s="33">
        <f>IF(J363="","",TODAY()-J363)</f>
        <v/>
      </c>
      <c r="Q363" s="5">
        <f>IF(AND(M363&lt;&gt;"",M363&lt;TODAY(),ISNA(MATCH(H363,{"Won","Lost","Do not contact"},0))),"OVERDUE","")</f>
        <v/>
      </c>
    </row>
    <row r="364">
      <c r="A364" s="31" t="n"/>
      <c r="B364" s="32" t="n"/>
      <c r="C364" s="32" t="n"/>
      <c r="D364" s="32" t="n"/>
      <c r="E364" s="32" t="n"/>
      <c r="F364" s="32" t="n"/>
      <c r="G364" s="32" t="n"/>
      <c r="H364" s="32" t="n"/>
      <c r="I364" s="32" t="n"/>
      <c r="J364" s="31" t="n"/>
      <c r="K364" s="32" t="n"/>
      <c r="L364" s="32" t="n"/>
      <c r="M364" s="31" t="n"/>
      <c r="N364" s="32" t="n"/>
      <c r="O364" s="32" t="n"/>
      <c r="P364" s="33">
        <f>IF(J364="","",TODAY()-J364)</f>
        <v/>
      </c>
      <c r="Q364" s="5">
        <f>IF(AND(M364&lt;&gt;"",M364&lt;TODAY(),ISNA(MATCH(H364,{"Won","Lost","Do not contact"},0))),"OVERDUE","")</f>
        <v/>
      </c>
    </row>
    <row r="365">
      <c r="A365" s="31" t="n"/>
      <c r="B365" s="32" t="n"/>
      <c r="C365" s="32" t="n"/>
      <c r="D365" s="32" t="n"/>
      <c r="E365" s="32" t="n"/>
      <c r="F365" s="32" t="n"/>
      <c r="G365" s="32" t="n"/>
      <c r="H365" s="32" t="n"/>
      <c r="I365" s="32" t="n"/>
      <c r="J365" s="31" t="n"/>
      <c r="K365" s="32" t="n"/>
      <c r="L365" s="32" t="n"/>
      <c r="M365" s="31" t="n"/>
      <c r="N365" s="32" t="n"/>
      <c r="O365" s="32" t="n"/>
      <c r="P365" s="33">
        <f>IF(J365="","",TODAY()-J365)</f>
        <v/>
      </c>
      <c r="Q365" s="5">
        <f>IF(AND(M365&lt;&gt;"",M365&lt;TODAY(),ISNA(MATCH(H365,{"Won","Lost","Do not contact"},0))),"OVERDUE","")</f>
        <v/>
      </c>
    </row>
    <row r="366">
      <c r="A366" s="31" t="n"/>
      <c r="B366" s="32" t="n"/>
      <c r="C366" s="32" t="n"/>
      <c r="D366" s="32" t="n"/>
      <c r="E366" s="32" t="n"/>
      <c r="F366" s="32" t="n"/>
      <c r="G366" s="32" t="n"/>
      <c r="H366" s="32" t="n"/>
      <c r="I366" s="32" t="n"/>
      <c r="J366" s="31" t="n"/>
      <c r="K366" s="32" t="n"/>
      <c r="L366" s="32" t="n"/>
      <c r="M366" s="31" t="n"/>
      <c r="N366" s="32" t="n"/>
      <c r="O366" s="32" t="n"/>
      <c r="P366" s="33">
        <f>IF(J366="","",TODAY()-J366)</f>
        <v/>
      </c>
      <c r="Q366" s="5">
        <f>IF(AND(M366&lt;&gt;"",M366&lt;TODAY(),ISNA(MATCH(H366,{"Won","Lost","Do not contact"},0))),"OVERDUE","")</f>
        <v/>
      </c>
    </row>
    <row r="367">
      <c r="A367" s="31" t="n"/>
      <c r="B367" s="32" t="n"/>
      <c r="C367" s="32" t="n"/>
      <c r="D367" s="32" t="n"/>
      <c r="E367" s="32" t="n"/>
      <c r="F367" s="32" t="n"/>
      <c r="G367" s="32" t="n"/>
      <c r="H367" s="32" t="n"/>
      <c r="I367" s="32" t="n"/>
      <c r="J367" s="31" t="n"/>
      <c r="K367" s="32" t="n"/>
      <c r="L367" s="32" t="n"/>
      <c r="M367" s="31" t="n"/>
      <c r="N367" s="32" t="n"/>
      <c r="O367" s="32" t="n"/>
      <c r="P367" s="33">
        <f>IF(J367="","",TODAY()-J367)</f>
        <v/>
      </c>
      <c r="Q367" s="5">
        <f>IF(AND(M367&lt;&gt;"",M367&lt;TODAY(),ISNA(MATCH(H367,{"Won","Lost","Do not contact"},0))),"OVERDUE","")</f>
        <v/>
      </c>
    </row>
    <row r="368">
      <c r="A368" s="31" t="n"/>
      <c r="B368" s="32" t="n"/>
      <c r="C368" s="32" t="n"/>
      <c r="D368" s="32" t="n"/>
      <c r="E368" s="32" t="n"/>
      <c r="F368" s="32" t="n"/>
      <c r="G368" s="32" t="n"/>
      <c r="H368" s="32" t="n"/>
      <c r="I368" s="32" t="n"/>
      <c r="J368" s="31" t="n"/>
      <c r="K368" s="32" t="n"/>
      <c r="L368" s="32" t="n"/>
      <c r="M368" s="31" t="n"/>
      <c r="N368" s="32" t="n"/>
      <c r="O368" s="32" t="n"/>
      <c r="P368" s="33">
        <f>IF(J368="","",TODAY()-J368)</f>
        <v/>
      </c>
      <c r="Q368" s="5">
        <f>IF(AND(M368&lt;&gt;"",M368&lt;TODAY(),ISNA(MATCH(H368,{"Won","Lost","Do not contact"},0))),"OVERDUE","")</f>
        <v/>
      </c>
    </row>
    <row r="369">
      <c r="A369" s="31" t="n"/>
      <c r="B369" s="32" t="n"/>
      <c r="C369" s="32" t="n"/>
      <c r="D369" s="32" t="n"/>
      <c r="E369" s="32" t="n"/>
      <c r="F369" s="32" t="n"/>
      <c r="G369" s="32" t="n"/>
      <c r="H369" s="32" t="n"/>
      <c r="I369" s="32" t="n"/>
      <c r="J369" s="31" t="n"/>
      <c r="K369" s="32" t="n"/>
      <c r="L369" s="32" t="n"/>
      <c r="M369" s="31" t="n"/>
      <c r="N369" s="32" t="n"/>
      <c r="O369" s="32" t="n"/>
      <c r="P369" s="33">
        <f>IF(J369="","",TODAY()-J369)</f>
        <v/>
      </c>
      <c r="Q369" s="5">
        <f>IF(AND(M369&lt;&gt;"",M369&lt;TODAY(),ISNA(MATCH(H369,{"Won","Lost","Do not contact"},0))),"OVERDUE","")</f>
        <v/>
      </c>
    </row>
    <row r="370">
      <c r="A370" s="31" t="n"/>
      <c r="B370" s="32" t="n"/>
      <c r="C370" s="32" t="n"/>
      <c r="D370" s="32" t="n"/>
      <c r="E370" s="32" t="n"/>
      <c r="F370" s="32" t="n"/>
      <c r="G370" s="32" t="n"/>
      <c r="H370" s="32" t="n"/>
      <c r="I370" s="32" t="n"/>
      <c r="J370" s="31" t="n"/>
      <c r="K370" s="32" t="n"/>
      <c r="L370" s="32" t="n"/>
      <c r="M370" s="31" t="n"/>
      <c r="N370" s="32" t="n"/>
      <c r="O370" s="32" t="n"/>
      <c r="P370" s="33">
        <f>IF(J370="","",TODAY()-J370)</f>
        <v/>
      </c>
      <c r="Q370" s="5">
        <f>IF(AND(M370&lt;&gt;"",M370&lt;TODAY(),ISNA(MATCH(H370,{"Won","Lost","Do not contact"},0))),"OVERDUE","")</f>
        <v/>
      </c>
    </row>
    <row r="371">
      <c r="A371" s="31" t="n"/>
      <c r="B371" s="32" t="n"/>
      <c r="C371" s="32" t="n"/>
      <c r="D371" s="32" t="n"/>
      <c r="E371" s="32" t="n"/>
      <c r="F371" s="32" t="n"/>
      <c r="G371" s="32" t="n"/>
      <c r="H371" s="32" t="n"/>
      <c r="I371" s="32" t="n"/>
      <c r="J371" s="31" t="n"/>
      <c r="K371" s="32" t="n"/>
      <c r="L371" s="32" t="n"/>
      <c r="M371" s="31" t="n"/>
      <c r="N371" s="32" t="n"/>
      <c r="O371" s="32" t="n"/>
      <c r="P371" s="33">
        <f>IF(J371="","",TODAY()-J371)</f>
        <v/>
      </c>
      <c r="Q371" s="5">
        <f>IF(AND(M371&lt;&gt;"",M371&lt;TODAY(),ISNA(MATCH(H371,{"Won","Lost","Do not contact"},0))),"OVERDUE","")</f>
        <v/>
      </c>
    </row>
    <row r="372">
      <c r="A372" s="31" t="n"/>
      <c r="B372" s="32" t="n"/>
      <c r="C372" s="32" t="n"/>
      <c r="D372" s="32" t="n"/>
      <c r="E372" s="32" t="n"/>
      <c r="F372" s="32" t="n"/>
      <c r="G372" s="32" t="n"/>
      <c r="H372" s="32" t="n"/>
      <c r="I372" s="32" t="n"/>
      <c r="J372" s="31" t="n"/>
      <c r="K372" s="32" t="n"/>
      <c r="L372" s="32" t="n"/>
      <c r="M372" s="31" t="n"/>
      <c r="N372" s="32" t="n"/>
      <c r="O372" s="32" t="n"/>
      <c r="P372" s="33">
        <f>IF(J372="","",TODAY()-J372)</f>
        <v/>
      </c>
      <c r="Q372" s="5">
        <f>IF(AND(M372&lt;&gt;"",M372&lt;TODAY(),ISNA(MATCH(H372,{"Won","Lost","Do not contact"},0))),"OVERDUE","")</f>
        <v/>
      </c>
    </row>
    <row r="373">
      <c r="A373" s="31" t="n"/>
      <c r="B373" s="32" t="n"/>
      <c r="C373" s="32" t="n"/>
      <c r="D373" s="32" t="n"/>
      <c r="E373" s="32" t="n"/>
      <c r="F373" s="32" t="n"/>
      <c r="G373" s="32" t="n"/>
      <c r="H373" s="32" t="n"/>
      <c r="I373" s="32" t="n"/>
      <c r="J373" s="31" t="n"/>
      <c r="K373" s="32" t="n"/>
      <c r="L373" s="32" t="n"/>
      <c r="M373" s="31" t="n"/>
      <c r="N373" s="32" t="n"/>
      <c r="O373" s="32" t="n"/>
      <c r="P373" s="33">
        <f>IF(J373="","",TODAY()-J373)</f>
        <v/>
      </c>
      <c r="Q373" s="5">
        <f>IF(AND(M373&lt;&gt;"",M373&lt;TODAY(),ISNA(MATCH(H373,{"Won","Lost","Do not contact"},0))),"OVERDUE","")</f>
        <v/>
      </c>
    </row>
    <row r="374">
      <c r="A374" s="31" t="n"/>
      <c r="B374" s="32" t="n"/>
      <c r="C374" s="32" t="n"/>
      <c r="D374" s="32" t="n"/>
      <c r="E374" s="32" t="n"/>
      <c r="F374" s="32" t="n"/>
      <c r="G374" s="32" t="n"/>
      <c r="H374" s="32" t="n"/>
      <c r="I374" s="32" t="n"/>
      <c r="J374" s="31" t="n"/>
      <c r="K374" s="32" t="n"/>
      <c r="L374" s="32" t="n"/>
      <c r="M374" s="31" t="n"/>
      <c r="N374" s="32" t="n"/>
      <c r="O374" s="32" t="n"/>
      <c r="P374" s="33">
        <f>IF(J374="","",TODAY()-J374)</f>
        <v/>
      </c>
      <c r="Q374" s="5">
        <f>IF(AND(M374&lt;&gt;"",M374&lt;TODAY(),ISNA(MATCH(H374,{"Won","Lost","Do not contact"},0))),"OVERDUE","")</f>
        <v/>
      </c>
    </row>
    <row r="375">
      <c r="A375" s="31" t="n"/>
      <c r="B375" s="32" t="n"/>
      <c r="C375" s="32" t="n"/>
      <c r="D375" s="32" t="n"/>
      <c r="E375" s="32" t="n"/>
      <c r="F375" s="32" t="n"/>
      <c r="G375" s="32" t="n"/>
      <c r="H375" s="32" t="n"/>
      <c r="I375" s="32" t="n"/>
      <c r="J375" s="31" t="n"/>
      <c r="K375" s="32" t="n"/>
      <c r="L375" s="32" t="n"/>
      <c r="M375" s="31" t="n"/>
      <c r="N375" s="32" t="n"/>
      <c r="O375" s="32" t="n"/>
      <c r="P375" s="33">
        <f>IF(J375="","",TODAY()-J375)</f>
        <v/>
      </c>
      <c r="Q375" s="5">
        <f>IF(AND(M375&lt;&gt;"",M375&lt;TODAY(),ISNA(MATCH(H375,{"Won","Lost","Do not contact"},0))),"OVERDUE","")</f>
        <v/>
      </c>
    </row>
    <row r="376">
      <c r="A376" s="31" t="n"/>
      <c r="B376" s="32" t="n"/>
      <c r="C376" s="32" t="n"/>
      <c r="D376" s="32" t="n"/>
      <c r="E376" s="32" t="n"/>
      <c r="F376" s="32" t="n"/>
      <c r="G376" s="32" t="n"/>
      <c r="H376" s="32" t="n"/>
      <c r="I376" s="32" t="n"/>
      <c r="J376" s="31" t="n"/>
      <c r="K376" s="32" t="n"/>
      <c r="L376" s="32" t="n"/>
      <c r="M376" s="31" t="n"/>
      <c r="N376" s="32" t="n"/>
      <c r="O376" s="32" t="n"/>
      <c r="P376" s="33">
        <f>IF(J376="","",TODAY()-J376)</f>
        <v/>
      </c>
      <c r="Q376" s="5">
        <f>IF(AND(M376&lt;&gt;"",M376&lt;TODAY(),ISNA(MATCH(H376,{"Won","Lost","Do not contact"},0))),"OVERDUE","")</f>
        <v/>
      </c>
    </row>
    <row r="377">
      <c r="A377" s="31" t="n"/>
      <c r="B377" s="32" t="n"/>
      <c r="C377" s="32" t="n"/>
      <c r="D377" s="32" t="n"/>
      <c r="E377" s="32" t="n"/>
      <c r="F377" s="32" t="n"/>
      <c r="G377" s="32" t="n"/>
      <c r="H377" s="32" t="n"/>
      <c r="I377" s="32" t="n"/>
      <c r="J377" s="31" t="n"/>
      <c r="K377" s="32" t="n"/>
      <c r="L377" s="32" t="n"/>
      <c r="M377" s="31" t="n"/>
      <c r="N377" s="32" t="n"/>
      <c r="O377" s="32" t="n"/>
      <c r="P377" s="33">
        <f>IF(J377="","",TODAY()-J377)</f>
        <v/>
      </c>
      <c r="Q377" s="5">
        <f>IF(AND(M377&lt;&gt;"",M377&lt;TODAY(),ISNA(MATCH(H377,{"Won","Lost","Do not contact"},0))),"OVERDUE","")</f>
        <v/>
      </c>
    </row>
    <row r="378">
      <c r="A378" s="31" t="n"/>
      <c r="B378" s="32" t="n"/>
      <c r="C378" s="32" t="n"/>
      <c r="D378" s="32" t="n"/>
      <c r="E378" s="32" t="n"/>
      <c r="F378" s="32" t="n"/>
      <c r="G378" s="32" t="n"/>
      <c r="H378" s="32" t="n"/>
      <c r="I378" s="32" t="n"/>
      <c r="J378" s="31" t="n"/>
      <c r="K378" s="32" t="n"/>
      <c r="L378" s="32" t="n"/>
      <c r="M378" s="31" t="n"/>
      <c r="N378" s="32" t="n"/>
      <c r="O378" s="32" t="n"/>
      <c r="P378" s="33">
        <f>IF(J378="","",TODAY()-J378)</f>
        <v/>
      </c>
      <c r="Q378" s="5">
        <f>IF(AND(M378&lt;&gt;"",M378&lt;TODAY(),ISNA(MATCH(H378,{"Won","Lost","Do not contact"},0))),"OVERDUE","")</f>
        <v/>
      </c>
    </row>
    <row r="379">
      <c r="A379" s="31" t="n"/>
      <c r="B379" s="32" t="n"/>
      <c r="C379" s="32" t="n"/>
      <c r="D379" s="32" t="n"/>
      <c r="E379" s="32" t="n"/>
      <c r="F379" s="32" t="n"/>
      <c r="G379" s="32" t="n"/>
      <c r="H379" s="32" t="n"/>
      <c r="I379" s="32" t="n"/>
      <c r="J379" s="31" t="n"/>
      <c r="K379" s="32" t="n"/>
      <c r="L379" s="32" t="n"/>
      <c r="M379" s="31" t="n"/>
      <c r="N379" s="32" t="n"/>
      <c r="O379" s="32" t="n"/>
      <c r="P379" s="33">
        <f>IF(J379="","",TODAY()-J379)</f>
        <v/>
      </c>
      <c r="Q379" s="5">
        <f>IF(AND(M379&lt;&gt;"",M379&lt;TODAY(),ISNA(MATCH(H379,{"Won","Lost","Do not contact"},0))),"OVERDUE","")</f>
        <v/>
      </c>
    </row>
    <row r="380">
      <c r="A380" s="31" t="n"/>
      <c r="B380" s="32" t="n"/>
      <c r="C380" s="32" t="n"/>
      <c r="D380" s="32" t="n"/>
      <c r="E380" s="32" t="n"/>
      <c r="F380" s="32" t="n"/>
      <c r="G380" s="32" t="n"/>
      <c r="H380" s="32" t="n"/>
      <c r="I380" s="32" t="n"/>
      <c r="J380" s="31" t="n"/>
      <c r="K380" s="32" t="n"/>
      <c r="L380" s="32" t="n"/>
      <c r="M380" s="31" t="n"/>
      <c r="N380" s="32" t="n"/>
      <c r="O380" s="32" t="n"/>
      <c r="P380" s="33">
        <f>IF(J380="","",TODAY()-J380)</f>
        <v/>
      </c>
      <c r="Q380" s="5">
        <f>IF(AND(M380&lt;&gt;"",M380&lt;TODAY(),ISNA(MATCH(H380,{"Won","Lost","Do not contact"},0))),"OVERDUE","")</f>
        <v/>
      </c>
    </row>
    <row r="381">
      <c r="A381" s="31" t="n"/>
      <c r="B381" s="32" t="n"/>
      <c r="C381" s="32" t="n"/>
      <c r="D381" s="32" t="n"/>
      <c r="E381" s="32" t="n"/>
      <c r="F381" s="32" t="n"/>
      <c r="G381" s="32" t="n"/>
      <c r="H381" s="32" t="n"/>
      <c r="I381" s="32" t="n"/>
      <c r="J381" s="31" t="n"/>
      <c r="K381" s="32" t="n"/>
      <c r="L381" s="32" t="n"/>
      <c r="M381" s="31" t="n"/>
      <c r="N381" s="32" t="n"/>
      <c r="O381" s="32" t="n"/>
      <c r="P381" s="33">
        <f>IF(J381="","",TODAY()-J381)</f>
        <v/>
      </c>
      <c r="Q381" s="5">
        <f>IF(AND(M381&lt;&gt;"",M381&lt;TODAY(),ISNA(MATCH(H381,{"Won","Lost","Do not contact"},0))),"OVERDUE","")</f>
        <v/>
      </c>
    </row>
    <row r="382">
      <c r="A382" s="31" t="n"/>
      <c r="B382" s="32" t="n"/>
      <c r="C382" s="32" t="n"/>
      <c r="D382" s="32" t="n"/>
      <c r="E382" s="32" t="n"/>
      <c r="F382" s="32" t="n"/>
      <c r="G382" s="32" t="n"/>
      <c r="H382" s="32" t="n"/>
      <c r="I382" s="32" t="n"/>
      <c r="J382" s="31" t="n"/>
      <c r="K382" s="32" t="n"/>
      <c r="L382" s="32" t="n"/>
      <c r="M382" s="31" t="n"/>
      <c r="N382" s="32" t="n"/>
      <c r="O382" s="32" t="n"/>
      <c r="P382" s="33">
        <f>IF(J382="","",TODAY()-J382)</f>
        <v/>
      </c>
      <c r="Q382" s="5">
        <f>IF(AND(M382&lt;&gt;"",M382&lt;TODAY(),ISNA(MATCH(H382,{"Won","Lost","Do not contact"},0))),"OVERDUE","")</f>
        <v/>
      </c>
    </row>
    <row r="383">
      <c r="A383" s="31" t="n"/>
      <c r="B383" s="32" t="n"/>
      <c r="C383" s="32" t="n"/>
      <c r="D383" s="32" t="n"/>
      <c r="E383" s="32" t="n"/>
      <c r="F383" s="32" t="n"/>
      <c r="G383" s="32" t="n"/>
      <c r="H383" s="32" t="n"/>
      <c r="I383" s="32" t="n"/>
      <c r="J383" s="31" t="n"/>
      <c r="K383" s="32" t="n"/>
      <c r="L383" s="32" t="n"/>
      <c r="M383" s="31" t="n"/>
      <c r="N383" s="32" t="n"/>
      <c r="O383" s="32" t="n"/>
      <c r="P383" s="33">
        <f>IF(J383="","",TODAY()-J383)</f>
        <v/>
      </c>
      <c r="Q383" s="5">
        <f>IF(AND(M383&lt;&gt;"",M383&lt;TODAY(),ISNA(MATCH(H383,{"Won","Lost","Do not contact"},0))),"OVERDUE","")</f>
        <v/>
      </c>
    </row>
    <row r="384">
      <c r="A384" s="31" t="n"/>
      <c r="B384" s="32" t="n"/>
      <c r="C384" s="32" t="n"/>
      <c r="D384" s="32" t="n"/>
      <c r="E384" s="32" t="n"/>
      <c r="F384" s="32" t="n"/>
      <c r="G384" s="32" t="n"/>
      <c r="H384" s="32" t="n"/>
      <c r="I384" s="32" t="n"/>
      <c r="J384" s="31" t="n"/>
      <c r="K384" s="32" t="n"/>
      <c r="L384" s="32" t="n"/>
      <c r="M384" s="31" t="n"/>
      <c r="N384" s="32" t="n"/>
      <c r="O384" s="32" t="n"/>
      <c r="P384" s="33">
        <f>IF(J384="","",TODAY()-J384)</f>
        <v/>
      </c>
      <c r="Q384" s="5">
        <f>IF(AND(M384&lt;&gt;"",M384&lt;TODAY(),ISNA(MATCH(H384,{"Won","Lost","Do not contact"},0))),"OVERDUE","")</f>
        <v/>
      </c>
    </row>
    <row r="385">
      <c r="A385" s="31" t="n"/>
      <c r="B385" s="32" t="n"/>
      <c r="C385" s="32" t="n"/>
      <c r="D385" s="32" t="n"/>
      <c r="E385" s="32" t="n"/>
      <c r="F385" s="32" t="n"/>
      <c r="G385" s="32" t="n"/>
      <c r="H385" s="32" t="n"/>
      <c r="I385" s="32" t="n"/>
      <c r="J385" s="31" t="n"/>
      <c r="K385" s="32" t="n"/>
      <c r="L385" s="32" t="n"/>
      <c r="M385" s="31" t="n"/>
      <c r="N385" s="32" t="n"/>
      <c r="O385" s="32" t="n"/>
      <c r="P385" s="33">
        <f>IF(J385="","",TODAY()-J385)</f>
        <v/>
      </c>
      <c r="Q385" s="5">
        <f>IF(AND(M385&lt;&gt;"",M385&lt;TODAY(),ISNA(MATCH(H385,{"Won","Lost","Do not contact"},0))),"OVERDUE","")</f>
        <v/>
      </c>
    </row>
    <row r="386">
      <c r="A386" s="31" t="n"/>
      <c r="B386" s="32" t="n"/>
      <c r="C386" s="32" t="n"/>
      <c r="D386" s="32" t="n"/>
      <c r="E386" s="32" t="n"/>
      <c r="F386" s="32" t="n"/>
      <c r="G386" s="32" t="n"/>
      <c r="H386" s="32" t="n"/>
      <c r="I386" s="32" t="n"/>
      <c r="J386" s="31" t="n"/>
      <c r="K386" s="32" t="n"/>
      <c r="L386" s="32" t="n"/>
      <c r="M386" s="31" t="n"/>
      <c r="N386" s="32" t="n"/>
      <c r="O386" s="32" t="n"/>
      <c r="P386" s="33">
        <f>IF(J386="","",TODAY()-J386)</f>
        <v/>
      </c>
      <c r="Q386" s="5">
        <f>IF(AND(M386&lt;&gt;"",M386&lt;TODAY(),ISNA(MATCH(H386,{"Won","Lost","Do not contact"},0))),"OVERDUE","")</f>
        <v/>
      </c>
    </row>
    <row r="387">
      <c r="A387" s="31" t="n"/>
      <c r="B387" s="32" t="n"/>
      <c r="C387" s="32" t="n"/>
      <c r="D387" s="32" t="n"/>
      <c r="E387" s="32" t="n"/>
      <c r="F387" s="32" t="n"/>
      <c r="G387" s="32" t="n"/>
      <c r="H387" s="32" t="n"/>
      <c r="I387" s="32" t="n"/>
      <c r="J387" s="31" t="n"/>
      <c r="K387" s="32" t="n"/>
      <c r="L387" s="32" t="n"/>
      <c r="M387" s="31" t="n"/>
      <c r="N387" s="32" t="n"/>
      <c r="O387" s="32" t="n"/>
      <c r="P387" s="33">
        <f>IF(J387="","",TODAY()-J387)</f>
        <v/>
      </c>
      <c r="Q387" s="5">
        <f>IF(AND(M387&lt;&gt;"",M387&lt;TODAY(),ISNA(MATCH(H387,{"Won","Lost","Do not contact"},0))),"OVERDUE","")</f>
        <v/>
      </c>
    </row>
    <row r="388">
      <c r="A388" s="31" t="n"/>
      <c r="B388" s="32" t="n"/>
      <c r="C388" s="32" t="n"/>
      <c r="D388" s="32" t="n"/>
      <c r="E388" s="32" t="n"/>
      <c r="F388" s="32" t="n"/>
      <c r="G388" s="32" t="n"/>
      <c r="H388" s="32" t="n"/>
      <c r="I388" s="32" t="n"/>
      <c r="J388" s="31" t="n"/>
      <c r="K388" s="32" t="n"/>
      <c r="L388" s="32" t="n"/>
      <c r="M388" s="31" t="n"/>
      <c r="N388" s="32" t="n"/>
      <c r="O388" s="32" t="n"/>
      <c r="P388" s="33">
        <f>IF(J388="","",TODAY()-J388)</f>
        <v/>
      </c>
      <c r="Q388" s="5">
        <f>IF(AND(M388&lt;&gt;"",M388&lt;TODAY(),ISNA(MATCH(H388,{"Won","Lost","Do not contact"},0))),"OVERDUE","")</f>
        <v/>
      </c>
    </row>
    <row r="389">
      <c r="A389" s="31" t="n"/>
      <c r="B389" s="32" t="n"/>
      <c r="C389" s="32" t="n"/>
      <c r="D389" s="32" t="n"/>
      <c r="E389" s="32" t="n"/>
      <c r="F389" s="32" t="n"/>
      <c r="G389" s="32" t="n"/>
      <c r="H389" s="32" t="n"/>
      <c r="I389" s="32" t="n"/>
      <c r="J389" s="31" t="n"/>
      <c r="K389" s="32" t="n"/>
      <c r="L389" s="32" t="n"/>
      <c r="M389" s="31" t="n"/>
      <c r="N389" s="32" t="n"/>
      <c r="O389" s="32" t="n"/>
      <c r="P389" s="33">
        <f>IF(J389="","",TODAY()-J389)</f>
        <v/>
      </c>
      <c r="Q389" s="5">
        <f>IF(AND(M389&lt;&gt;"",M389&lt;TODAY(),ISNA(MATCH(H389,{"Won","Lost","Do not contact"},0))),"OVERDUE","")</f>
        <v/>
      </c>
    </row>
    <row r="390">
      <c r="A390" s="31" t="n"/>
      <c r="B390" s="32" t="n"/>
      <c r="C390" s="32" t="n"/>
      <c r="D390" s="32" t="n"/>
      <c r="E390" s="32" t="n"/>
      <c r="F390" s="32" t="n"/>
      <c r="G390" s="32" t="n"/>
      <c r="H390" s="32" t="n"/>
      <c r="I390" s="32" t="n"/>
      <c r="J390" s="31" t="n"/>
      <c r="K390" s="32" t="n"/>
      <c r="L390" s="32" t="n"/>
      <c r="M390" s="31" t="n"/>
      <c r="N390" s="32" t="n"/>
      <c r="O390" s="32" t="n"/>
      <c r="P390" s="33">
        <f>IF(J390="","",TODAY()-J390)</f>
        <v/>
      </c>
      <c r="Q390" s="5">
        <f>IF(AND(M390&lt;&gt;"",M390&lt;TODAY(),ISNA(MATCH(H390,{"Won","Lost","Do not contact"},0))),"OVERDUE","")</f>
        <v/>
      </c>
    </row>
    <row r="391">
      <c r="A391" s="31" t="n"/>
      <c r="B391" s="32" t="n"/>
      <c r="C391" s="32" t="n"/>
      <c r="D391" s="32" t="n"/>
      <c r="E391" s="32" t="n"/>
      <c r="F391" s="32" t="n"/>
      <c r="G391" s="32" t="n"/>
      <c r="H391" s="32" t="n"/>
      <c r="I391" s="32" t="n"/>
      <c r="J391" s="31" t="n"/>
      <c r="K391" s="32" t="n"/>
      <c r="L391" s="32" t="n"/>
      <c r="M391" s="31" t="n"/>
      <c r="N391" s="32" t="n"/>
      <c r="O391" s="32" t="n"/>
      <c r="P391" s="33">
        <f>IF(J391="","",TODAY()-J391)</f>
        <v/>
      </c>
      <c r="Q391" s="5">
        <f>IF(AND(M391&lt;&gt;"",M391&lt;TODAY(),ISNA(MATCH(H391,{"Won","Lost","Do not contact"},0))),"OVERDUE","")</f>
        <v/>
      </c>
    </row>
    <row r="392">
      <c r="A392" s="31" t="n"/>
      <c r="B392" s="32" t="n"/>
      <c r="C392" s="32" t="n"/>
      <c r="D392" s="32" t="n"/>
      <c r="E392" s="32" t="n"/>
      <c r="F392" s="32" t="n"/>
      <c r="G392" s="32" t="n"/>
      <c r="H392" s="32" t="n"/>
      <c r="I392" s="32" t="n"/>
      <c r="J392" s="31" t="n"/>
      <c r="K392" s="32" t="n"/>
      <c r="L392" s="32" t="n"/>
      <c r="M392" s="31" t="n"/>
      <c r="N392" s="32" t="n"/>
      <c r="O392" s="32" t="n"/>
      <c r="P392" s="33">
        <f>IF(J392="","",TODAY()-J392)</f>
        <v/>
      </c>
      <c r="Q392" s="5">
        <f>IF(AND(M392&lt;&gt;"",M392&lt;TODAY(),ISNA(MATCH(H392,{"Won","Lost","Do not contact"},0))),"OVERDUE","")</f>
        <v/>
      </c>
    </row>
    <row r="393">
      <c r="A393" s="31" t="n"/>
      <c r="B393" s="32" t="n"/>
      <c r="C393" s="32" t="n"/>
      <c r="D393" s="32" t="n"/>
      <c r="E393" s="32" t="n"/>
      <c r="F393" s="32" t="n"/>
      <c r="G393" s="32" t="n"/>
      <c r="H393" s="32" t="n"/>
      <c r="I393" s="32" t="n"/>
      <c r="J393" s="31" t="n"/>
      <c r="K393" s="32" t="n"/>
      <c r="L393" s="32" t="n"/>
      <c r="M393" s="31" t="n"/>
      <c r="N393" s="32" t="n"/>
      <c r="O393" s="32" t="n"/>
      <c r="P393" s="33">
        <f>IF(J393="","",TODAY()-J393)</f>
        <v/>
      </c>
      <c r="Q393" s="5">
        <f>IF(AND(M393&lt;&gt;"",M393&lt;TODAY(),ISNA(MATCH(H393,{"Won","Lost","Do not contact"},0))),"OVERDUE","")</f>
        <v/>
      </c>
    </row>
    <row r="394">
      <c r="A394" s="31" t="n"/>
      <c r="B394" s="32" t="n"/>
      <c r="C394" s="32" t="n"/>
      <c r="D394" s="32" t="n"/>
      <c r="E394" s="32" t="n"/>
      <c r="F394" s="32" t="n"/>
      <c r="G394" s="32" t="n"/>
      <c r="H394" s="32" t="n"/>
      <c r="I394" s="32" t="n"/>
      <c r="J394" s="31" t="n"/>
      <c r="K394" s="32" t="n"/>
      <c r="L394" s="32" t="n"/>
      <c r="M394" s="31" t="n"/>
      <c r="N394" s="32" t="n"/>
      <c r="O394" s="32" t="n"/>
      <c r="P394" s="33">
        <f>IF(J394="","",TODAY()-J394)</f>
        <v/>
      </c>
      <c r="Q394" s="5">
        <f>IF(AND(M394&lt;&gt;"",M394&lt;TODAY(),ISNA(MATCH(H394,{"Won","Lost","Do not contact"},0))),"OVERDUE","")</f>
        <v/>
      </c>
    </row>
    <row r="395">
      <c r="A395" s="31" t="n"/>
      <c r="B395" s="32" t="n"/>
      <c r="C395" s="32" t="n"/>
      <c r="D395" s="32" t="n"/>
      <c r="E395" s="32" t="n"/>
      <c r="F395" s="32" t="n"/>
      <c r="G395" s="32" t="n"/>
      <c r="H395" s="32" t="n"/>
      <c r="I395" s="32" t="n"/>
      <c r="J395" s="31" t="n"/>
      <c r="K395" s="32" t="n"/>
      <c r="L395" s="32" t="n"/>
      <c r="M395" s="31" t="n"/>
      <c r="N395" s="32" t="n"/>
      <c r="O395" s="32" t="n"/>
      <c r="P395" s="33">
        <f>IF(J395="","",TODAY()-J395)</f>
        <v/>
      </c>
      <c r="Q395" s="5">
        <f>IF(AND(M395&lt;&gt;"",M395&lt;TODAY(),ISNA(MATCH(H395,{"Won","Lost","Do not contact"},0))),"OVERDUE","")</f>
        <v/>
      </c>
    </row>
    <row r="396">
      <c r="A396" s="31" t="n"/>
      <c r="B396" s="32" t="n"/>
      <c r="C396" s="32" t="n"/>
      <c r="D396" s="32" t="n"/>
      <c r="E396" s="32" t="n"/>
      <c r="F396" s="32" t="n"/>
      <c r="G396" s="32" t="n"/>
      <c r="H396" s="32" t="n"/>
      <c r="I396" s="32" t="n"/>
      <c r="J396" s="31" t="n"/>
      <c r="K396" s="32" t="n"/>
      <c r="L396" s="32" t="n"/>
      <c r="M396" s="31" t="n"/>
      <c r="N396" s="32" t="n"/>
      <c r="O396" s="32" t="n"/>
      <c r="P396" s="33">
        <f>IF(J396="","",TODAY()-J396)</f>
        <v/>
      </c>
      <c r="Q396" s="5">
        <f>IF(AND(M396&lt;&gt;"",M396&lt;TODAY(),ISNA(MATCH(H396,{"Won","Lost","Do not contact"},0))),"OVERDUE","")</f>
        <v/>
      </c>
    </row>
    <row r="397">
      <c r="A397" s="31" t="n"/>
      <c r="B397" s="32" t="n"/>
      <c r="C397" s="32" t="n"/>
      <c r="D397" s="32" t="n"/>
      <c r="E397" s="32" t="n"/>
      <c r="F397" s="32" t="n"/>
      <c r="G397" s="32" t="n"/>
      <c r="H397" s="32" t="n"/>
      <c r="I397" s="32" t="n"/>
      <c r="J397" s="31" t="n"/>
      <c r="K397" s="32" t="n"/>
      <c r="L397" s="32" t="n"/>
      <c r="M397" s="31" t="n"/>
      <c r="N397" s="32" t="n"/>
      <c r="O397" s="32" t="n"/>
      <c r="P397" s="33">
        <f>IF(J397="","",TODAY()-J397)</f>
        <v/>
      </c>
      <c r="Q397" s="5">
        <f>IF(AND(M397&lt;&gt;"",M397&lt;TODAY(),ISNA(MATCH(H397,{"Won","Lost","Do not contact"},0))),"OVERDUE","")</f>
        <v/>
      </c>
    </row>
    <row r="398">
      <c r="A398" s="31" t="n"/>
      <c r="B398" s="32" t="n"/>
      <c r="C398" s="32" t="n"/>
      <c r="D398" s="32" t="n"/>
      <c r="E398" s="32" t="n"/>
      <c r="F398" s="32" t="n"/>
      <c r="G398" s="32" t="n"/>
      <c r="H398" s="32" t="n"/>
      <c r="I398" s="32" t="n"/>
      <c r="J398" s="31" t="n"/>
      <c r="K398" s="32" t="n"/>
      <c r="L398" s="32" t="n"/>
      <c r="M398" s="31" t="n"/>
      <c r="N398" s="32" t="n"/>
      <c r="O398" s="32" t="n"/>
      <c r="P398" s="33">
        <f>IF(J398="","",TODAY()-J398)</f>
        <v/>
      </c>
      <c r="Q398" s="5">
        <f>IF(AND(M398&lt;&gt;"",M398&lt;TODAY(),ISNA(MATCH(H398,{"Won","Lost","Do not contact"},0))),"OVERDUE","")</f>
        <v/>
      </c>
    </row>
    <row r="399">
      <c r="A399" s="31" t="n"/>
      <c r="B399" s="32" t="n"/>
      <c r="C399" s="32" t="n"/>
      <c r="D399" s="32" t="n"/>
      <c r="E399" s="32" t="n"/>
      <c r="F399" s="32" t="n"/>
      <c r="G399" s="32" t="n"/>
      <c r="H399" s="32" t="n"/>
      <c r="I399" s="32" t="n"/>
      <c r="J399" s="31" t="n"/>
      <c r="K399" s="32" t="n"/>
      <c r="L399" s="32" t="n"/>
      <c r="M399" s="31" t="n"/>
      <c r="N399" s="32" t="n"/>
      <c r="O399" s="32" t="n"/>
      <c r="P399" s="33">
        <f>IF(J399="","",TODAY()-J399)</f>
        <v/>
      </c>
      <c r="Q399" s="5">
        <f>IF(AND(M399&lt;&gt;"",M399&lt;TODAY(),ISNA(MATCH(H399,{"Won","Lost","Do not contact"},0))),"OVERDUE","")</f>
        <v/>
      </c>
    </row>
    <row r="400">
      <c r="A400" s="31" t="n"/>
      <c r="B400" s="32" t="n"/>
      <c r="C400" s="32" t="n"/>
      <c r="D400" s="32" t="n"/>
      <c r="E400" s="32" t="n"/>
      <c r="F400" s="32" t="n"/>
      <c r="G400" s="32" t="n"/>
      <c r="H400" s="32" t="n"/>
      <c r="I400" s="32" t="n"/>
      <c r="J400" s="31" t="n"/>
      <c r="K400" s="32" t="n"/>
      <c r="L400" s="32" t="n"/>
      <c r="M400" s="31" t="n"/>
      <c r="N400" s="32" t="n"/>
      <c r="O400" s="32" t="n"/>
      <c r="P400" s="33">
        <f>IF(J400="","",TODAY()-J400)</f>
        <v/>
      </c>
      <c r="Q400" s="5">
        <f>IF(AND(M400&lt;&gt;"",M400&lt;TODAY(),ISNA(MATCH(H400,{"Won","Lost","Do not contact"},0))),"OVERDUE","")</f>
        <v/>
      </c>
    </row>
    <row r="401">
      <c r="A401" s="31" t="n"/>
      <c r="B401" s="32" t="n"/>
      <c r="C401" s="32" t="n"/>
      <c r="D401" s="32" t="n"/>
      <c r="E401" s="32" t="n"/>
      <c r="F401" s="32" t="n"/>
      <c r="G401" s="32" t="n"/>
      <c r="H401" s="32" t="n"/>
      <c r="I401" s="32" t="n"/>
      <c r="J401" s="31" t="n"/>
      <c r="K401" s="32" t="n"/>
      <c r="L401" s="32" t="n"/>
      <c r="M401" s="31" t="n"/>
      <c r="N401" s="32" t="n"/>
      <c r="O401" s="32" t="n"/>
      <c r="P401" s="33">
        <f>IF(J401="","",TODAY()-J401)</f>
        <v/>
      </c>
      <c r="Q401" s="5">
        <f>IF(AND(M401&lt;&gt;"",M401&lt;TODAY(),ISNA(MATCH(H401,{"Won","Lost","Do not contact"},0))),"OVERDUE","")</f>
        <v/>
      </c>
    </row>
    <row r="402">
      <c r="A402" s="31" t="n"/>
      <c r="B402" s="32" t="n"/>
      <c r="C402" s="32" t="n"/>
      <c r="D402" s="32" t="n"/>
      <c r="E402" s="32" t="n"/>
      <c r="F402" s="32" t="n"/>
      <c r="G402" s="32" t="n"/>
      <c r="H402" s="32" t="n"/>
      <c r="I402" s="32" t="n"/>
      <c r="J402" s="31" t="n"/>
      <c r="K402" s="32" t="n"/>
      <c r="L402" s="32" t="n"/>
      <c r="M402" s="31" t="n"/>
      <c r="N402" s="32" t="n"/>
      <c r="O402" s="32" t="n"/>
      <c r="P402" s="33">
        <f>IF(J402="","",TODAY()-J402)</f>
        <v/>
      </c>
      <c r="Q402" s="5">
        <f>IF(AND(M402&lt;&gt;"",M402&lt;TODAY(),ISNA(MATCH(H402,{"Won","Lost","Do not contact"},0))),"OVERDUE","")</f>
        <v/>
      </c>
    </row>
    <row r="403">
      <c r="A403" s="31" t="n"/>
      <c r="B403" s="32" t="n"/>
      <c r="C403" s="32" t="n"/>
      <c r="D403" s="32" t="n"/>
      <c r="E403" s="32" t="n"/>
      <c r="F403" s="32" t="n"/>
      <c r="G403" s="32" t="n"/>
      <c r="H403" s="32" t="n"/>
      <c r="I403" s="32" t="n"/>
      <c r="J403" s="31" t="n"/>
      <c r="K403" s="32" t="n"/>
      <c r="L403" s="32" t="n"/>
      <c r="M403" s="31" t="n"/>
      <c r="N403" s="32" t="n"/>
      <c r="O403" s="32" t="n"/>
      <c r="P403" s="33">
        <f>IF(J403="","",TODAY()-J403)</f>
        <v/>
      </c>
      <c r="Q403" s="5">
        <f>IF(AND(M403&lt;&gt;"",M403&lt;TODAY(),ISNA(MATCH(H403,{"Won","Lost","Do not contact"},0))),"OVERDUE","")</f>
        <v/>
      </c>
    </row>
    <row r="404">
      <c r="A404" s="31" t="n"/>
      <c r="B404" s="32" t="n"/>
      <c r="C404" s="32" t="n"/>
      <c r="D404" s="32" t="n"/>
      <c r="E404" s="32" t="n"/>
      <c r="F404" s="32" t="n"/>
      <c r="G404" s="32" t="n"/>
      <c r="H404" s="32" t="n"/>
      <c r="I404" s="32" t="n"/>
      <c r="J404" s="31" t="n"/>
      <c r="K404" s="32" t="n"/>
      <c r="L404" s="32" t="n"/>
      <c r="M404" s="31" t="n"/>
      <c r="N404" s="32" t="n"/>
      <c r="O404" s="32" t="n"/>
      <c r="P404" s="33">
        <f>IF(J404="","",TODAY()-J404)</f>
        <v/>
      </c>
      <c r="Q404" s="5">
        <f>IF(AND(M404&lt;&gt;"",M404&lt;TODAY(),ISNA(MATCH(H404,{"Won","Lost","Do not contact"},0))),"OVERDUE","")</f>
        <v/>
      </c>
    </row>
    <row r="405">
      <c r="A405" s="31" t="n"/>
      <c r="B405" s="32" t="n"/>
      <c r="C405" s="32" t="n"/>
      <c r="D405" s="32" t="n"/>
      <c r="E405" s="32" t="n"/>
      <c r="F405" s="32" t="n"/>
      <c r="G405" s="32" t="n"/>
      <c r="H405" s="32" t="n"/>
      <c r="I405" s="32" t="n"/>
      <c r="J405" s="31" t="n"/>
      <c r="K405" s="32" t="n"/>
      <c r="L405" s="32" t="n"/>
      <c r="M405" s="31" t="n"/>
      <c r="N405" s="32" t="n"/>
      <c r="O405" s="32" t="n"/>
      <c r="P405" s="33">
        <f>IF(J405="","",TODAY()-J405)</f>
        <v/>
      </c>
      <c r="Q405" s="5">
        <f>IF(AND(M405&lt;&gt;"",M405&lt;TODAY(),ISNA(MATCH(H405,{"Won","Lost","Do not contact"},0))),"OVERDUE","")</f>
        <v/>
      </c>
    </row>
    <row r="406">
      <c r="A406" s="31" t="n"/>
      <c r="B406" s="32" t="n"/>
      <c r="C406" s="32" t="n"/>
      <c r="D406" s="32" t="n"/>
      <c r="E406" s="32" t="n"/>
      <c r="F406" s="32" t="n"/>
      <c r="G406" s="32" t="n"/>
      <c r="H406" s="32" t="n"/>
      <c r="I406" s="32" t="n"/>
      <c r="J406" s="31" t="n"/>
      <c r="K406" s="32" t="n"/>
      <c r="L406" s="32" t="n"/>
      <c r="M406" s="31" t="n"/>
      <c r="N406" s="32" t="n"/>
      <c r="O406" s="32" t="n"/>
      <c r="P406" s="33">
        <f>IF(J406="","",TODAY()-J406)</f>
        <v/>
      </c>
      <c r="Q406" s="5">
        <f>IF(AND(M406&lt;&gt;"",M406&lt;TODAY(),ISNA(MATCH(H406,{"Won","Lost","Do not contact"},0))),"OVERDUE","")</f>
        <v/>
      </c>
    </row>
    <row r="407">
      <c r="A407" s="31" t="n"/>
      <c r="B407" s="32" t="n"/>
      <c r="C407" s="32" t="n"/>
      <c r="D407" s="32" t="n"/>
      <c r="E407" s="32" t="n"/>
      <c r="F407" s="32" t="n"/>
      <c r="G407" s="32" t="n"/>
      <c r="H407" s="32" t="n"/>
      <c r="I407" s="32" t="n"/>
      <c r="J407" s="31" t="n"/>
      <c r="K407" s="32" t="n"/>
      <c r="L407" s="32" t="n"/>
      <c r="M407" s="31" t="n"/>
      <c r="N407" s="32" t="n"/>
      <c r="O407" s="32" t="n"/>
      <c r="P407" s="33">
        <f>IF(J407="","",TODAY()-J407)</f>
        <v/>
      </c>
      <c r="Q407" s="5">
        <f>IF(AND(M407&lt;&gt;"",M407&lt;TODAY(),ISNA(MATCH(H407,{"Won","Lost","Do not contact"},0))),"OVERDUE","")</f>
        <v/>
      </c>
    </row>
    <row r="408">
      <c r="A408" s="31" t="n"/>
      <c r="B408" s="32" t="n"/>
      <c r="C408" s="32" t="n"/>
      <c r="D408" s="32" t="n"/>
      <c r="E408" s="32" t="n"/>
      <c r="F408" s="32" t="n"/>
      <c r="G408" s="32" t="n"/>
      <c r="H408" s="32" t="n"/>
      <c r="I408" s="32" t="n"/>
      <c r="J408" s="31" t="n"/>
      <c r="K408" s="32" t="n"/>
      <c r="L408" s="32" t="n"/>
      <c r="M408" s="31" t="n"/>
      <c r="N408" s="32" t="n"/>
      <c r="O408" s="32" t="n"/>
      <c r="P408" s="33">
        <f>IF(J408="","",TODAY()-J408)</f>
        <v/>
      </c>
      <c r="Q408" s="5">
        <f>IF(AND(M408&lt;&gt;"",M408&lt;TODAY(),ISNA(MATCH(H408,{"Won","Lost","Do not contact"},0))),"OVERDUE","")</f>
        <v/>
      </c>
    </row>
    <row r="409">
      <c r="A409" s="31" t="n"/>
      <c r="B409" s="32" t="n"/>
      <c r="C409" s="32" t="n"/>
      <c r="D409" s="32" t="n"/>
      <c r="E409" s="32" t="n"/>
      <c r="F409" s="32" t="n"/>
      <c r="G409" s="32" t="n"/>
      <c r="H409" s="32" t="n"/>
      <c r="I409" s="32" t="n"/>
      <c r="J409" s="31" t="n"/>
      <c r="K409" s="32" t="n"/>
      <c r="L409" s="32" t="n"/>
      <c r="M409" s="31" t="n"/>
      <c r="N409" s="32" t="n"/>
      <c r="O409" s="32" t="n"/>
      <c r="P409" s="33">
        <f>IF(J409="","",TODAY()-J409)</f>
        <v/>
      </c>
      <c r="Q409" s="5">
        <f>IF(AND(M409&lt;&gt;"",M409&lt;TODAY(),ISNA(MATCH(H409,{"Won","Lost","Do not contact"},0))),"OVERDUE","")</f>
        <v/>
      </c>
    </row>
    <row r="410">
      <c r="A410" s="31" t="n"/>
      <c r="B410" s="32" t="n"/>
      <c r="C410" s="32" t="n"/>
      <c r="D410" s="32" t="n"/>
      <c r="E410" s="32" t="n"/>
      <c r="F410" s="32" t="n"/>
      <c r="G410" s="32" t="n"/>
      <c r="H410" s="32" t="n"/>
      <c r="I410" s="32" t="n"/>
      <c r="J410" s="31" t="n"/>
      <c r="K410" s="32" t="n"/>
      <c r="L410" s="32" t="n"/>
      <c r="M410" s="31" t="n"/>
      <c r="N410" s="32" t="n"/>
      <c r="O410" s="32" t="n"/>
      <c r="P410" s="33">
        <f>IF(J410="","",TODAY()-J410)</f>
        <v/>
      </c>
      <c r="Q410" s="5">
        <f>IF(AND(M410&lt;&gt;"",M410&lt;TODAY(),ISNA(MATCH(H410,{"Won","Lost","Do not contact"},0))),"OVERDUE","")</f>
        <v/>
      </c>
    </row>
    <row r="411">
      <c r="A411" s="31" t="n"/>
      <c r="B411" s="32" t="n"/>
      <c r="C411" s="32" t="n"/>
      <c r="D411" s="32" t="n"/>
      <c r="E411" s="32" t="n"/>
      <c r="F411" s="32" t="n"/>
      <c r="G411" s="32" t="n"/>
      <c r="H411" s="32" t="n"/>
      <c r="I411" s="32" t="n"/>
      <c r="J411" s="31" t="n"/>
      <c r="K411" s="32" t="n"/>
      <c r="L411" s="32" t="n"/>
      <c r="M411" s="31" t="n"/>
      <c r="N411" s="32" t="n"/>
      <c r="O411" s="32" t="n"/>
      <c r="P411" s="33">
        <f>IF(J411="","",TODAY()-J411)</f>
        <v/>
      </c>
      <c r="Q411" s="5">
        <f>IF(AND(M411&lt;&gt;"",M411&lt;TODAY(),ISNA(MATCH(H411,{"Won","Lost","Do not contact"},0))),"OVERDUE","")</f>
        <v/>
      </c>
    </row>
    <row r="412">
      <c r="A412" s="31" t="n"/>
      <c r="B412" s="32" t="n"/>
      <c r="C412" s="32" t="n"/>
      <c r="D412" s="32" t="n"/>
      <c r="E412" s="32" t="n"/>
      <c r="F412" s="32" t="n"/>
      <c r="G412" s="32" t="n"/>
      <c r="H412" s="32" t="n"/>
      <c r="I412" s="32" t="n"/>
      <c r="J412" s="31" t="n"/>
      <c r="K412" s="32" t="n"/>
      <c r="L412" s="32" t="n"/>
      <c r="M412" s="31" t="n"/>
      <c r="N412" s="32" t="n"/>
      <c r="O412" s="32" t="n"/>
      <c r="P412" s="33">
        <f>IF(J412="","",TODAY()-J412)</f>
        <v/>
      </c>
      <c r="Q412" s="5">
        <f>IF(AND(M412&lt;&gt;"",M412&lt;TODAY(),ISNA(MATCH(H412,{"Won","Lost","Do not contact"},0))),"OVERDUE","")</f>
        <v/>
      </c>
    </row>
    <row r="413">
      <c r="A413" s="31" t="n"/>
      <c r="B413" s="32" t="n"/>
      <c r="C413" s="32" t="n"/>
      <c r="D413" s="32" t="n"/>
      <c r="E413" s="32" t="n"/>
      <c r="F413" s="32" t="n"/>
      <c r="G413" s="32" t="n"/>
      <c r="H413" s="32" t="n"/>
      <c r="I413" s="32" t="n"/>
      <c r="J413" s="31" t="n"/>
      <c r="K413" s="32" t="n"/>
      <c r="L413" s="32" t="n"/>
      <c r="M413" s="31" t="n"/>
      <c r="N413" s="32" t="n"/>
      <c r="O413" s="32" t="n"/>
      <c r="P413" s="33">
        <f>IF(J413="","",TODAY()-J413)</f>
        <v/>
      </c>
      <c r="Q413" s="5">
        <f>IF(AND(M413&lt;&gt;"",M413&lt;TODAY(),ISNA(MATCH(H413,{"Won","Lost","Do not contact"},0))),"OVERDUE","")</f>
        <v/>
      </c>
    </row>
    <row r="414">
      <c r="A414" s="31" t="n"/>
      <c r="B414" s="32" t="n"/>
      <c r="C414" s="32" t="n"/>
      <c r="D414" s="32" t="n"/>
      <c r="E414" s="32" t="n"/>
      <c r="F414" s="32" t="n"/>
      <c r="G414" s="32" t="n"/>
      <c r="H414" s="32" t="n"/>
      <c r="I414" s="32" t="n"/>
      <c r="J414" s="31" t="n"/>
      <c r="K414" s="32" t="n"/>
      <c r="L414" s="32" t="n"/>
      <c r="M414" s="31" t="n"/>
      <c r="N414" s="32" t="n"/>
      <c r="O414" s="32" t="n"/>
      <c r="P414" s="33">
        <f>IF(J414="","",TODAY()-J414)</f>
        <v/>
      </c>
      <c r="Q414" s="5">
        <f>IF(AND(M414&lt;&gt;"",M414&lt;TODAY(),ISNA(MATCH(H414,{"Won","Lost","Do not contact"},0))),"OVERDUE","")</f>
        <v/>
      </c>
    </row>
    <row r="415">
      <c r="A415" s="31" t="n"/>
      <c r="B415" s="32" t="n"/>
      <c r="C415" s="32" t="n"/>
      <c r="D415" s="32" t="n"/>
      <c r="E415" s="32" t="n"/>
      <c r="F415" s="32" t="n"/>
      <c r="G415" s="32" t="n"/>
      <c r="H415" s="32" t="n"/>
      <c r="I415" s="32" t="n"/>
      <c r="J415" s="31" t="n"/>
      <c r="K415" s="32" t="n"/>
      <c r="L415" s="32" t="n"/>
      <c r="M415" s="31" t="n"/>
      <c r="N415" s="32" t="n"/>
      <c r="O415" s="32" t="n"/>
      <c r="P415" s="33">
        <f>IF(J415="","",TODAY()-J415)</f>
        <v/>
      </c>
      <c r="Q415" s="5">
        <f>IF(AND(M415&lt;&gt;"",M415&lt;TODAY(),ISNA(MATCH(H415,{"Won","Lost","Do not contact"},0))),"OVERDUE","")</f>
        <v/>
      </c>
    </row>
    <row r="416">
      <c r="A416" s="31" t="n"/>
      <c r="B416" s="32" t="n"/>
      <c r="C416" s="32" t="n"/>
      <c r="D416" s="32" t="n"/>
      <c r="E416" s="32" t="n"/>
      <c r="F416" s="32" t="n"/>
      <c r="G416" s="32" t="n"/>
      <c r="H416" s="32" t="n"/>
      <c r="I416" s="32" t="n"/>
      <c r="J416" s="31" t="n"/>
      <c r="K416" s="32" t="n"/>
      <c r="L416" s="32" t="n"/>
      <c r="M416" s="31" t="n"/>
      <c r="N416" s="32" t="n"/>
      <c r="O416" s="32" t="n"/>
      <c r="P416" s="33">
        <f>IF(J416="","",TODAY()-J416)</f>
        <v/>
      </c>
      <c r="Q416" s="5">
        <f>IF(AND(M416&lt;&gt;"",M416&lt;TODAY(),ISNA(MATCH(H416,{"Won","Lost","Do not contact"},0))),"OVERDUE","")</f>
        <v/>
      </c>
    </row>
    <row r="417">
      <c r="A417" s="31" t="n"/>
      <c r="B417" s="32" t="n"/>
      <c r="C417" s="32" t="n"/>
      <c r="D417" s="32" t="n"/>
      <c r="E417" s="32" t="n"/>
      <c r="F417" s="32" t="n"/>
      <c r="G417" s="32" t="n"/>
      <c r="H417" s="32" t="n"/>
      <c r="I417" s="32" t="n"/>
      <c r="J417" s="31" t="n"/>
      <c r="K417" s="32" t="n"/>
      <c r="L417" s="32" t="n"/>
      <c r="M417" s="31" t="n"/>
      <c r="N417" s="32" t="n"/>
      <c r="O417" s="32" t="n"/>
      <c r="P417" s="33">
        <f>IF(J417="","",TODAY()-J417)</f>
        <v/>
      </c>
      <c r="Q417" s="5">
        <f>IF(AND(M417&lt;&gt;"",M417&lt;TODAY(),ISNA(MATCH(H417,{"Won","Lost","Do not contact"},0))),"OVERDUE","")</f>
        <v/>
      </c>
    </row>
    <row r="418">
      <c r="A418" s="31" t="n"/>
      <c r="B418" s="32" t="n"/>
      <c r="C418" s="32" t="n"/>
      <c r="D418" s="32" t="n"/>
      <c r="E418" s="32" t="n"/>
      <c r="F418" s="32" t="n"/>
      <c r="G418" s="32" t="n"/>
      <c r="H418" s="32" t="n"/>
      <c r="I418" s="32" t="n"/>
      <c r="J418" s="31" t="n"/>
      <c r="K418" s="32" t="n"/>
      <c r="L418" s="32" t="n"/>
      <c r="M418" s="31" t="n"/>
      <c r="N418" s="32" t="n"/>
      <c r="O418" s="32" t="n"/>
      <c r="P418" s="33">
        <f>IF(J418="","",TODAY()-J418)</f>
        <v/>
      </c>
      <c r="Q418" s="5">
        <f>IF(AND(M418&lt;&gt;"",M418&lt;TODAY(),ISNA(MATCH(H418,{"Won","Lost","Do not contact"},0))),"OVERDUE","")</f>
        <v/>
      </c>
    </row>
    <row r="419">
      <c r="A419" s="31" t="n"/>
      <c r="B419" s="32" t="n"/>
      <c r="C419" s="32" t="n"/>
      <c r="D419" s="32" t="n"/>
      <c r="E419" s="32" t="n"/>
      <c r="F419" s="32" t="n"/>
      <c r="G419" s="32" t="n"/>
      <c r="H419" s="32" t="n"/>
      <c r="I419" s="32" t="n"/>
      <c r="J419" s="31" t="n"/>
      <c r="K419" s="32" t="n"/>
      <c r="L419" s="32" t="n"/>
      <c r="M419" s="31" t="n"/>
      <c r="N419" s="32" t="n"/>
      <c r="O419" s="32" t="n"/>
      <c r="P419" s="33">
        <f>IF(J419="","",TODAY()-J419)</f>
        <v/>
      </c>
      <c r="Q419" s="5">
        <f>IF(AND(M419&lt;&gt;"",M419&lt;TODAY(),ISNA(MATCH(H419,{"Won","Lost","Do not contact"},0))),"OVERDUE","")</f>
        <v/>
      </c>
    </row>
    <row r="420">
      <c r="A420" s="31" t="n"/>
      <c r="B420" s="32" t="n"/>
      <c r="C420" s="32" t="n"/>
      <c r="D420" s="32" t="n"/>
      <c r="E420" s="32" t="n"/>
      <c r="F420" s="32" t="n"/>
      <c r="G420" s="32" t="n"/>
      <c r="H420" s="32" t="n"/>
      <c r="I420" s="32" t="n"/>
      <c r="J420" s="31" t="n"/>
      <c r="K420" s="32" t="n"/>
      <c r="L420" s="32" t="n"/>
      <c r="M420" s="31" t="n"/>
      <c r="N420" s="32" t="n"/>
      <c r="O420" s="32" t="n"/>
      <c r="P420" s="33">
        <f>IF(J420="","",TODAY()-J420)</f>
        <v/>
      </c>
      <c r="Q420" s="5">
        <f>IF(AND(M420&lt;&gt;"",M420&lt;TODAY(),ISNA(MATCH(H420,{"Won","Lost","Do not contact"},0))),"OVERDUE","")</f>
        <v/>
      </c>
    </row>
    <row r="421">
      <c r="A421" s="31" t="n"/>
      <c r="B421" s="32" t="n"/>
      <c r="C421" s="32" t="n"/>
      <c r="D421" s="32" t="n"/>
      <c r="E421" s="32" t="n"/>
      <c r="F421" s="32" t="n"/>
      <c r="G421" s="32" t="n"/>
      <c r="H421" s="32" t="n"/>
      <c r="I421" s="32" t="n"/>
      <c r="J421" s="31" t="n"/>
      <c r="K421" s="32" t="n"/>
      <c r="L421" s="32" t="n"/>
      <c r="M421" s="31" t="n"/>
      <c r="N421" s="32" t="n"/>
      <c r="O421" s="32" t="n"/>
      <c r="P421" s="33">
        <f>IF(J421="","",TODAY()-J421)</f>
        <v/>
      </c>
      <c r="Q421" s="5">
        <f>IF(AND(M421&lt;&gt;"",M421&lt;TODAY(),ISNA(MATCH(H421,{"Won","Lost","Do not contact"},0))),"OVERDUE","")</f>
        <v/>
      </c>
    </row>
    <row r="422">
      <c r="A422" s="31" t="n"/>
      <c r="B422" s="32" t="n"/>
      <c r="C422" s="32" t="n"/>
      <c r="D422" s="32" t="n"/>
      <c r="E422" s="32" t="n"/>
      <c r="F422" s="32" t="n"/>
      <c r="G422" s="32" t="n"/>
      <c r="H422" s="32" t="n"/>
      <c r="I422" s="32" t="n"/>
      <c r="J422" s="31" t="n"/>
      <c r="K422" s="32" t="n"/>
      <c r="L422" s="32" t="n"/>
      <c r="M422" s="31" t="n"/>
      <c r="N422" s="32" t="n"/>
      <c r="O422" s="32" t="n"/>
      <c r="P422" s="33">
        <f>IF(J422="","",TODAY()-J422)</f>
        <v/>
      </c>
      <c r="Q422" s="5">
        <f>IF(AND(M422&lt;&gt;"",M422&lt;TODAY(),ISNA(MATCH(H422,{"Won","Lost","Do not contact"},0))),"OVERDUE","")</f>
        <v/>
      </c>
    </row>
    <row r="423">
      <c r="A423" s="31" t="n"/>
      <c r="B423" s="32" t="n"/>
      <c r="C423" s="32" t="n"/>
      <c r="D423" s="32" t="n"/>
      <c r="E423" s="32" t="n"/>
      <c r="F423" s="32" t="n"/>
      <c r="G423" s="32" t="n"/>
      <c r="H423" s="32" t="n"/>
      <c r="I423" s="32" t="n"/>
      <c r="J423" s="31" t="n"/>
      <c r="K423" s="32" t="n"/>
      <c r="L423" s="32" t="n"/>
      <c r="M423" s="31" t="n"/>
      <c r="N423" s="32" t="n"/>
      <c r="O423" s="32" t="n"/>
      <c r="P423" s="33">
        <f>IF(J423="","",TODAY()-J423)</f>
        <v/>
      </c>
      <c r="Q423" s="5">
        <f>IF(AND(M423&lt;&gt;"",M423&lt;TODAY(),ISNA(MATCH(H423,{"Won","Lost","Do not contact"},0))),"OVERDUE","")</f>
        <v/>
      </c>
    </row>
    <row r="424">
      <c r="A424" s="31" t="n"/>
      <c r="B424" s="32" t="n"/>
      <c r="C424" s="32" t="n"/>
      <c r="D424" s="32" t="n"/>
      <c r="E424" s="32" t="n"/>
      <c r="F424" s="32" t="n"/>
      <c r="G424" s="32" t="n"/>
      <c r="H424" s="32" t="n"/>
      <c r="I424" s="32" t="n"/>
      <c r="J424" s="31" t="n"/>
      <c r="K424" s="32" t="n"/>
      <c r="L424" s="32" t="n"/>
      <c r="M424" s="31" t="n"/>
      <c r="N424" s="32" t="n"/>
      <c r="O424" s="32" t="n"/>
      <c r="P424" s="33">
        <f>IF(J424="","",TODAY()-J424)</f>
        <v/>
      </c>
      <c r="Q424" s="5">
        <f>IF(AND(M424&lt;&gt;"",M424&lt;TODAY(),ISNA(MATCH(H424,{"Won","Lost","Do not contact"},0))),"OVERDUE","")</f>
        <v/>
      </c>
    </row>
    <row r="425">
      <c r="A425" s="31" t="n"/>
      <c r="B425" s="32" t="n"/>
      <c r="C425" s="32" t="n"/>
      <c r="D425" s="32" t="n"/>
      <c r="E425" s="32" t="n"/>
      <c r="F425" s="32" t="n"/>
      <c r="G425" s="32" t="n"/>
      <c r="H425" s="32" t="n"/>
      <c r="I425" s="32" t="n"/>
      <c r="J425" s="31" t="n"/>
      <c r="K425" s="32" t="n"/>
      <c r="L425" s="32" t="n"/>
      <c r="M425" s="31" t="n"/>
      <c r="N425" s="32" t="n"/>
      <c r="O425" s="32" t="n"/>
      <c r="P425" s="33">
        <f>IF(J425="","",TODAY()-J425)</f>
        <v/>
      </c>
      <c r="Q425" s="5">
        <f>IF(AND(M425&lt;&gt;"",M425&lt;TODAY(),ISNA(MATCH(H425,{"Won","Lost","Do not contact"},0))),"OVERDUE","")</f>
        <v/>
      </c>
    </row>
    <row r="426">
      <c r="A426" s="31" t="n"/>
      <c r="B426" s="32" t="n"/>
      <c r="C426" s="32" t="n"/>
      <c r="D426" s="32" t="n"/>
      <c r="E426" s="32" t="n"/>
      <c r="F426" s="32" t="n"/>
      <c r="G426" s="32" t="n"/>
      <c r="H426" s="32" t="n"/>
      <c r="I426" s="32" t="n"/>
      <c r="J426" s="31" t="n"/>
      <c r="K426" s="32" t="n"/>
      <c r="L426" s="32" t="n"/>
      <c r="M426" s="31" t="n"/>
      <c r="N426" s="32" t="n"/>
      <c r="O426" s="32" t="n"/>
      <c r="P426" s="33">
        <f>IF(J426="","",TODAY()-J426)</f>
        <v/>
      </c>
      <c r="Q426" s="5">
        <f>IF(AND(M426&lt;&gt;"",M426&lt;TODAY(),ISNA(MATCH(H426,{"Won","Lost","Do not contact"},0))),"OVERDUE","")</f>
        <v/>
      </c>
    </row>
    <row r="427">
      <c r="A427" s="31" t="n"/>
      <c r="B427" s="32" t="n"/>
      <c r="C427" s="32" t="n"/>
      <c r="D427" s="32" t="n"/>
      <c r="E427" s="32" t="n"/>
      <c r="F427" s="32" t="n"/>
      <c r="G427" s="32" t="n"/>
      <c r="H427" s="32" t="n"/>
      <c r="I427" s="32" t="n"/>
      <c r="J427" s="31" t="n"/>
      <c r="K427" s="32" t="n"/>
      <c r="L427" s="32" t="n"/>
      <c r="M427" s="31" t="n"/>
      <c r="N427" s="32" t="n"/>
      <c r="O427" s="32" t="n"/>
      <c r="P427" s="33">
        <f>IF(J427="","",TODAY()-J427)</f>
        <v/>
      </c>
      <c r="Q427" s="5">
        <f>IF(AND(M427&lt;&gt;"",M427&lt;TODAY(),ISNA(MATCH(H427,{"Won","Lost","Do not contact"},0))),"OVERDUE","")</f>
        <v/>
      </c>
    </row>
    <row r="428">
      <c r="A428" s="31" t="n"/>
      <c r="B428" s="32" t="n"/>
      <c r="C428" s="32" t="n"/>
      <c r="D428" s="32" t="n"/>
      <c r="E428" s="32" t="n"/>
      <c r="F428" s="32" t="n"/>
      <c r="G428" s="32" t="n"/>
      <c r="H428" s="32" t="n"/>
      <c r="I428" s="32" t="n"/>
      <c r="J428" s="31" t="n"/>
      <c r="K428" s="32" t="n"/>
      <c r="L428" s="32" t="n"/>
      <c r="M428" s="31" t="n"/>
      <c r="N428" s="32" t="n"/>
      <c r="O428" s="32" t="n"/>
      <c r="P428" s="33">
        <f>IF(J428="","",TODAY()-J428)</f>
        <v/>
      </c>
      <c r="Q428" s="5">
        <f>IF(AND(M428&lt;&gt;"",M428&lt;TODAY(),ISNA(MATCH(H428,{"Won","Lost","Do not contact"},0))),"OVERDUE","")</f>
        <v/>
      </c>
    </row>
    <row r="429">
      <c r="A429" s="31" t="n"/>
      <c r="B429" s="32" t="n"/>
      <c r="C429" s="32" t="n"/>
      <c r="D429" s="32" t="n"/>
      <c r="E429" s="32" t="n"/>
      <c r="F429" s="32" t="n"/>
      <c r="G429" s="32" t="n"/>
      <c r="H429" s="32" t="n"/>
      <c r="I429" s="32" t="n"/>
      <c r="J429" s="31" t="n"/>
      <c r="K429" s="32" t="n"/>
      <c r="L429" s="32" t="n"/>
      <c r="M429" s="31" t="n"/>
      <c r="N429" s="32" t="n"/>
      <c r="O429" s="32" t="n"/>
      <c r="P429" s="33">
        <f>IF(J429="","",TODAY()-J429)</f>
        <v/>
      </c>
      <c r="Q429" s="5">
        <f>IF(AND(M429&lt;&gt;"",M429&lt;TODAY(),ISNA(MATCH(H429,{"Won","Lost","Do not contact"},0))),"OVERDUE","")</f>
        <v/>
      </c>
    </row>
    <row r="430">
      <c r="A430" s="31" t="n"/>
      <c r="B430" s="32" t="n"/>
      <c r="C430" s="32" t="n"/>
      <c r="D430" s="32" t="n"/>
      <c r="E430" s="32" t="n"/>
      <c r="F430" s="32" t="n"/>
      <c r="G430" s="32" t="n"/>
      <c r="H430" s="32" t="n"/>
      <c r="I430" s="32" t="n"/>
      <c r="J430" s="31" t="n"/>
      <c r="K430" s="32" t="n"/>
      <c r="L430" s="32" t="n"/>
      <c r="M430" s="31" t="n"/>
      <c r="N430" s="32" t="n"/>
      <c r="O430" s="32" t="n"/>
      <c r="P430" s="33">
        <f>IF(J430="","",TODAY()-J430)</f>
        <v/>
      </c>
      <c r="Q430" s="5">
        <f>IF(AND(M430&lt;&gt;"",M430&lt;TODAY(),ISNA(MATCH(H430,{"Won","Lost","Do not contact"},0))),"OVERDUE","")</f>
        <v/>
      </c>
    </row>
    <row r="431">
      <c r="A431" s="31" t="n"/>
      <c r="B431" s="32" t="n"/>
      <c r="C431" s="32" t="n"/>
      <c r="D431" s="32" t="n"/>
      <c r="E431" s="32" t="n"/>
      <c r="F431" s="32" t="n"/>
      <c r="G431" s="32" t="n"/>
      <c r="H431" s="32" t="n"/>
      <c r="I431" s="32" t="n"/>
      <c r="J431" s="31" t="n"/>
      <c r="K431" s="32" t="n"/>
      <c r="L431" s="32" t="n"/>
      <c r="M431" s="31" t="n"/>
      <c r="N431" s="32" t="n"/>
      <c r="O431" s="32" t="n"/>
      <c r="P431" s="33">
        <f>IF(J431="","",TODAY()-J431)</f>
        <v/>
      </c>
      <c r="Q431" s="5">
        <f>IF(AND(M431&lt;&gt;"",M431&lt;TODAY(),ISNA(MATCH(H431,{"Won","Lost","Do not contact"},0))),"OVERDUE","")</f>
        <v/>
      </c>
    </row>
    <row r="432">
      <c r="A432" s="31" t="n"/>
      <c r="B432" s="32" t="n"/>
      <c r="C432" s="32" t="n"/>
      <c r="D432" s="32" t="n"/>
      <c r="E432" s="32" t="n"/>
      <c r="F432" s="32" t="n"/>
      <c r="G432" s="32" t="n"/>
      <c r="H432" s="32" t="n"/>
      <c r="I432" s="32" t="n"/>
      <c r="J432" s="31" t="n"/>
      <c r="K432" s="32" t="n"/>
      <c r="L432" s="32" t="n"/>
      <c r="M432" s="31" t="n"/>
      <c r="N432" s="32" t="n"/>
      <c r="O432" s="32" t="n"/>
      <c r="P432" s="33">
        <f>IF(J432="","",TODAY()-J432)</f>
        <v/>
      </c>
      <c r="Q432" s="5">
        <f>IF(AND(M432&lt;&gt;"",M432&lt;TODAY(),ISNA(MATCH(H432,{"Won","Lost","Do not contact"},0))),"OVERDUE","")</f>
        <v/>
      </c>
    </row>
    <row r="433">
      <c r="A433" s="31" t="n"/>
      <c r="B433" s="32" t="n"/>
      <c r="C433" s="32" t="n"/>
      <c r="D433" s="32" t="n"/>
      <c r="E433" s="32" t="n"/>
      <c r="F433" s="32" t="n"/>
      <c r="G433" s="32" t="n"/>
      <c r="H433" s="32" t="n"/>
      <c r="I433" s="32" t="n"/>
      <c r="J433" s="31" t="n"/>
      <c r="K433" s="32" t="n"/>
      <c r="L433" s="32" t="n"/>
      <c r="M433" s="31" t="n"/>
      <c r="N433" s="32" t="n"/>
      <c r="O433" s="32" t="n"/>
      <c r="P433" s="33">
        <f>IF(J433="","",TODAY()-J433)</f>
        <v/>
      </c>
      <c r="Q433" s="5">
        <f>IF(AND(M433&lt;&gt;"",M433&lt;TODAY(),ISNA(MATCH(H433,{"Won","Lost","Do not contact"},0))),"OVERDUE","")</f>
        <v/>
      </c>
    </row>
    <row r="434">
      <c r="A434" s="31" t="n"/>
      <c r="B434" s="32" t="n"/>
      <c r="C434" s="32" t="n"/>
      <c r="D434" s="32" t="n"/>
      <c r="E434" s="32" t="n"/>
      <c r="F434" s="32" t="n"/>
      <c r="G434" s="32" t="n"/>
      <c r="H434" s="32" t="n"/>
      <c r="I434" s="32" t="n"/>
      <c r="J434" s="31" t="n"/>
      <c r="K434" s="32" t="n"/>
      <c r="L434" s="32" t="n"/>
      <c r="M434" s="31" t="n"/>
      <c r="N434" s="32" t="n"/>
      <c r="O434" s="32" t="n"/>
      <c r="P434" s="33">
        <f>IF(J434="","",TODAY()-J434)</f>
        <v/>
      </c>
      <c r="Q434" s="5">
        <f>IF(AND(M434&lt;&gt;"",M434&lt;TODAY(),ISNA(MATCH(H434,{"Won","Lost","Do not contact"},0))),"OVERDUE","")</f>
        <v/>
      </c>
    </row>
    <row r="435">
      <c r="A435" s="31" t="n"/>
      <c r="B435" s="32" t="n"/>
      <c r="C435" s="32" t="n"/>
      <c r="D435" s="32" t="n"/>
      <c r="E435" s="32" t="n"/>
      <c r="F435" s="32" t="n"/>
      <c r="G435" s="32" t="n"/>
      <c r="H435" s="32" t="n"/>
      <c r="I435" s="32" t="n"/>
      <c r="J435" s="31" t="n"/>
      <c r="K435" s="32" t="n"/>
      <c r="L435" s="32" t="n"/>
      <c r="M435" s="31" t="n"/>
      <c r="N435" s="32" t="n"/>
      <c r="O435" s="32" t="n"/>
      <c r="P435" s="33">
        <f>IF(J435="","",TODAY()-J435)</f>
        <v/>
      </c>
      <c r="Q435" s="5">
        <f>IF(AND(M435&lt;&gt;"",M435&lt;TODAY(),ISNA(MATCH(H435,{"Won","Lost","Do not contact"},0))),"OVERDUE","")</f>
        <v/>
      </c>
    </row>
    <row r="436">
      <c r="A436" s="31" t="n"/>
      <c r="B436" s="32" t="n"/>
      <c r="C436" s="32" t="n"/>
      <c r="D436" s="32" t="n"/>
      <c r="E436" s="32" t="n"/>
      <c r="F436" s="32" t="n"/>
      <c r="G436" s="32" t="n"/>
      <c r="H436" s="32" t="n"/>
      <c r="I436" s="32" t="n"/>
      <c r="J436" s="31" t="n"/>
      <c r="K436" s="32" t="n"/>
      <c r="L436" s="32" t="n"/>
      <c r="M436" s="31" t="n"/>
      <c r="N436" s="32" t="n"/>
      <c r="O436" s="32" t="n"/>
      <c r="P436" s="33">
        <f>IF(J436="","",TODAY()-J436)</f>
        <v/>
      </c>
      <c r="Q436" s="5">
        <f>IF(AND(M436&lt;&gt;"",M436&lt;TODAY(),ISNA(MATCH(H436,{"Won","Lost","Do not contact"},0))),"OVERDUE","")</f>
        <v/>
      </c>
    </row>
    <row r="437">
      <c r="A437" s="31" t="n"/>
      <c r="B437" s="32" t="n"/>
      <c r="C437" s="32" t="n"/>
      <c r="D437" s="32" t="n"/>
      <c r="E437" s="32" t="n"/>
      <c r="F437" s="32" t="n"/>
      <c r="G437" s="32" t="n"/>
      <c r="H437" s="32" t="n"/>
      <c r="I437" s="32" t="n"/>
      <c r="J437" s="31" t="n"/>
      <c r="K437" s="32" t="n"/>
      <c r="L437" s="32" t="n"/>
      <c r="M437" s="31" t="n"/>
      <c r="N437" s="32" t="n"/>
      <c r="O437" s="32" t="n"/>
      <c r="P437" s="33">
        <f>IF(J437="","",TODAY()-J437)</f>
        <v/>
      </c>
      <c r="Q437" s="5">
        <f>IF(AND(M437&lt;&gt;"",M437&lt;TODAY(),ISNA(MATCH(H437,{"Won","Lost","Do not contact"},0))),"OVERDUE","")</f>
        <v/>
      </c>
    </row>
    <row r="438">
      <c r="A438" s="31" t="n"/>
      <c r="B438" s="32" t="n"/>
      <c r="C438" s="32" t="n"/>
      <c r="D438" s="32" t="n"/>
      <c r="E438" s="32" t="n"/>
      <c r="F438" s="32" t="n"/>
      <c r="G438" s="32" t="n"/>
      <c r="H438" s="32" t="n"/>
      <c r="I438" s="32" t="n"/>
      <c r="J438" s="31" t="n"/>
      <c r="K438" s="32" t="n"/>
      <c r="L438" s="32" t="n"/>
      <c r="M438" s="31" t="n"/>
      <c r="N438" s="32" t="n"/>
      <c r="O438" s="32" t="n"/>
      <c r="P438" s="33">
        <f>IF(J438="","",TODAY()-J438)</f>
        <v/>
      </c>
      <c r="Q438" s="5">
        <f>IF(AND(M438&lt;&gt;"",M438&lt;TODAY(),ISNA(MATCH(H438,{"Won","Lost","Do not contact"},0))),"OVERDUE","")</f>
        <v/>
      </c>
    </row>
    <row r="439">
      <c r="A439" s="31" t="n"/>
      <c r="B439" s="32" t="n"/>
      <c r="C439" s="32" t="n"/>
      <c r="D439" s="32" t="n"/>
      <c r="E439" s="32" t="n"/>
      <c r="F439" s="32" t="n"/>
      <c r="G439" s="32" t="n"/>
      <c r="H439" s="32" t="n"/>
      <c r="I439" s="32" t="n"/>
      <c r="J439" s="31" t="n"/>
      <c r="K439" s="32" t="n"/>
      <c r="L439" s="32" t="n"/>
      <c r="M439" s="31" t="n"/>
      <c r="N439" s="32" t="n"/>
      <c r="O439" s="32" t="n"/>
      <c r="P439" s="33">
        <f>IF(J439="","",TODAY()-J439)</f>
        <v/>
      </c>
      <c r="Q439" s="5">
        <f>IF(AND(M439&lt;&gt;"",M439&lt;TODAY(),ISNA(MATCH(H439,{"Won","Lost","Do not contact"},0))),"OVERDUE","")</f>
        <v/>
      </c>
    </row>
    <row r="440">
      <c r="A440" s="31" t="n"/>
      <c r="B440" s="32" t="n"/>
      <c r="C440" s="32" t="n"/>
      <c r="D440" s="32" t="n"/>
      <c r="E440" s="32" t="n"/>
      <c r="F440" s="32" t="n"/>
      <c r="G440" s="32" t="n"/>
      <c r="H440" s="32" t="n"/>
      <c r="I440" s="32" t="n"/>
      <c r="J440" s="31" t="n"/>
      <c r="K440" s="32" t="n"/>
      <c r="L440" s="32" t="n"/>
      <c r="M440" s="31" t="n"/>
      <c r="N440" s="32" t="n"/>
      <c r="O440" s="32" t="n"/>
      <c r="P440" s="33">
        <f>IF(J440="","",TODAY()-J440)</f>
        <v/>
      </c>
      <c r="Q440" s="5">
        <f>IF(AND(M440&lt;&gt;"",M440&lt;TODAY(),ISNA(MATCH(H440,{"Won","Lost","Do not contact"},0))),"OVERDUE","")</f>
        <v/>
      </c>
    </row>
    <row r="441">
      <c r="A441" s="31" t="n"/>
      <c r="B441" s="32" t="n"/>
      <c r="C441" s="32" t="n"/>
      <c r="D441" s="32" t="n"/>
      <c r="E441" s="32" t="n"/>
      <c r="F441" s="32" t="n"/>
      <c r="G441" s="32" t="n"/>
      <c r="H441" s="32" t="n"/>
      <c r="I441" s="32" t="n"/>
      <c r="J441" s="31" t="n"/>
      <c r="K441" s="32" t="n"/>
      <c r="L441" s="32" t="n"/>
      <c r="M441" s="31" t="n"/>
      <c r="N441" s="32" t="n"/>
      <c r="O441" s="32" t="n"/>
      <c r="P441" s="33">
        <f>IF(J441="","",TODAY()-J441)</f>
        <v/>
      </c>
      <c r="Q441" s="5">
        <f>IF(AND(M441&lt;&gt;"",M441&lt;TODAY(),ISNA(MATCH(H441,{"Won","Lost","Do not contact"},0))),"OVERDUE","")</f>
        <v/>
      </c>
    </row>
    <row r="442">
      <c r="A442" s="31" t="n"/>
      <c r="B442" s="32" t="n"/>
      <c r="C442" s="32" t="n"/>
      <c r="D442" s="32" t="n"/>
      <c r="E442" s="32" t="n"/>
      <c r="F442" s="32" t="n"/>
      <c r="G442" s="32" t="n"/>
      <c r="H442" s="32" t="n"/>
      <c r="I442" s="32" t="n"/>
      <c r="J442" s="31" t="n"/>
      <c r="K442" s="32" t="n"/>
      <c r="L442" s="32" t="n"/>
      <c r="M442" s="31" t="n"/>
      <c r="N442" s="32" t="n"/>
      <c r="O442" s="32" t="n"/>
      <c r="P442" s="33">
        <f>IF(J442="","",TODAY()-J442)</f>
        <v/>
      </c>
      <c r="Q442" s="5">
        <f>IF(AND(M442&lt;&gt;"",M442&lt;TODAY(),ISNA(MATCH(H442,{"Won","Lost","Do not contact"},0))),"OVERDUE","")</f>
        <v/>
      </c>
    </row>
    <row r="443">
      <c r="A443" s="31" t="n"/>
      <c r="B443" s="32" t="n"/>
      <c r="C443" s="32" t="n"/>
      <c r="D443" s="32" t="n"/>
      <c r="E443" s="32" t="n"/>
      <c r="F443" s="32" t="n"/>
      <c r="G443" s="32" t="n"/>
      <c r="H443" s="32" t="n"/>
      <c r="I443" s="32" t="n"/>
      <c r="J443" s="31" t="n"/>
      <c r="K443" s="32" t="n"/>
      <c r="L443" s="32" t="n"/>
      <c r="M443" s="31" t="n"/>
      <c r="N443" s="32" t="n"/>
      <c r="O443" s="32" t="n"/>
      <c r="P443" s="33">
        <f>IF(J443="","",TODAY()-J443)</f>
        <v/>
      </c>
      <c r="Q443" s="5">
        <f>IF(AND(M443&lt;&gt;"",M443&lt;TODAY(),ISNA(MATCH(H443,{"Won","Lost","Do not contact"},0))),"OVERDUE","")</f>
        <v/>
      </c>
    </row>
    <row r="444">
      <c r="A444" s="31" t="n"/>
      <c r="B444" s="32" t="n"/>
      <c r="C444" s="32" t="n"/>
      <c r="D444" s="32" t="n"/>
      <c r="E444" s="32" t="n"/>
      <c r="F444" s="32" t="n"/>
      <c r="G444" s="32" t="n"/>
      <c r="H444" s="32" t="n"/>
      <c r="I444" s="32" t="n"/>
      <c r="J444" s="31" t="n"/>
      <c r="K444" s="32" t="n"/>
      <c r="L444" s="32" t="n"/>
      <c r="M444" s="31" t="n"/>
      <c r="N444" s="32" t="n"/>
      <c r="O444" s="32" t="n"/>
      <c r="P444" s="33">
        <f>IF(J444="","",TODAY()-J444)</f>
        <v/>
      </c>
      <c r="Q444" s="5">
        <f>IF(AND(M444&lt;&gt;"",M444&lt;TODAY(),ISNA(MATCH(H444,{"Won","Lost","Do not contact"},0))),"OVERDUE","")</f>
        <v/>
      </c>
    </row>
    <row r="445">
      <c r="A445" s="31" t="n"/>
      <c r="B445" s="32" t="n"/>
      <c r="C445" s="32" t="n"/>
      <c r="D445" s="32" t="n"/>
      <c r="E445" s="32" t="n"/>
      <c r="F445" s="32" t="n"/>
      <c r="G445" s="32" t="n"/>
      <c r="H445" s="32" t="n"/>
      <c r="I445" s="32" t="n"/>
      <c r="J445" s="31" t="n"/>
      <c r="K445" s="32" t="n"/>
      <c r="L445" s="32" t="n"/>
      <c r="M445" s="31" t="n"/>
      <c r="N445" s="32" t="n"/>
      <c r="O445" s="32" t="n"/>
      <c r="P445" s="33">
        <f>IF(J445="","",TODAY()-J445)</f>
        <v/>
      </c>
      <c r="Q445" s="5">
        <f>IF(AND(M445&lt;&gt;"",M445&lt;TODAY(),ISNA(MATCH(H445,{"Won","Lost","Do not contact"},0))),"OVERDUE","")</f>
        <v/>
      </c>
    </row>
    <row r="446">
      <c r="A446" s="31" t="n"/>
      <c r="B446" s="32" t="n"/>
      <c r="C446" s="32" t="n"/>
      <c r="D446" s="32" t="n"/>
      <c r="E446" s="32" t="n"/>
      <c r="F446" s="32" t="n"/>
      <c r="G446" s="32" t="n"/>
      <c r="H446" s="32" t="n"/>
      <c r="I446" s="32" t="n"/>
      <c r="J446" s="31" t="n"/>
      <c r="K446" s="32" t="n"/>
      <c r="L446" s="32" t="n"/>
      <c r="M446" s="31" t="n"/>
      <c r="N446" s="32" t="n"/>
      <c r="O446" s="32" t="n"/>
      <c r="P446" s="33">
        <f>IF(J446="","",TODAY()-J446)</f>
        <v/>
      </c>
      <c r="Q446" s="5">
        <f>IF(AND(M446&lt;&gt;"",M446&lt;TODAY(),ISNA(MATCH(H446,{"Won","Lost","Do not contact"},0))),"OVERDUE","")</f>
        <v/>
      </c>
    </row>
    <row r="447">
      <c r="A447" s="31" t="n"/>
      <c r="B447" s="32" t="n"/>
      <c r="C447" s="32" t="n"/>
      <c r="D447" s="32" t="n"/>
      <c r="E447" s="32" t="n"/>
      <c r="F447" s="32" t="n"/>
      <c r="G447" s="32" t="n"/>
      <c r="H447" s="32" t="n"/>
      <c r="I447" s="32" t="n"/>
      <c r="J447" s="31" t="n"/>
      <c r="K447" s="32" t="n"/>
      <c r="L447" s="32" t="n"/>
      <c r="M447" s="31" t="n"/>
      <c r="N447" s="32" t="n"/>
      <c r="O447" s="32" t="n"/>
      <c r="P447" s="33">
        <f>IF(J447="","",TODAY()-J447)</f>
        <v/>
      </c>
      <c r="Q447" s="5">
        <f>IF(AND(M447&lt;&gt;"",M447&lt;TODAY(),ISNA(MATCH(H447,{"Won","Lost","Do not contact"},0))),"OVERDUE","")</f>
        <v/>
      </c>
    </row>
    <row r="448">
      <c r="A448" s="31" t="n"/>
      <c r="B448" s="32" t="n"/>
      <c r="C448" s="32" t="n"/>
      <c r="D448" s="32" t="n"/>
      <c r="E448" s="32" t="n"/>
      <c r="F448" s="32" t="n"/>
      <c r="G448" s="32" t="n"/>
      <c r="H448" s="32" t="n"/>
      <c r="I448" s="32" t="n"/>
      <c r="J448" s="31" t="n"/>
      <c r="K448" s="32" t="n"/>
      <c r="L448" s="32" t="n"/>
      <c r="M448" s="31" t="n"/>
      <c r="N448" s="32" t="n"/>
      <c r="O448" s="32" t="n"/>
      <c r="P448" s="33">
        <f>IF(J448="","",TODAY()-J448)</f>
        <v/>
      </c>
      <c r="Q448" s="5">
        <f>IF(AND(M448&lt;&gt;"",M448&lt;TODAY(),ISNA(MATCH(H448,{"Won","Lost","Do not contact"},0))),"OVERDUE","")</f>
        <v/>
      </c>
    </row>
    <row r="449">
      <c r="A449" s="31" t="n"/>
      <c r="B449" s="32" t="n"/>
      <c r="C449" s="32" t="n"/>
      <c r="D449" s="32" t="n"/>
      <c r="E449" s="32" t="n"/>
      <c r="F449" s="32" t="n"/>
      <c r="G449" s="32" t="n"/>
      <c r="H449" s="32" t="n"/>
      <c r="I449" s="32" t="n"/>
      <c r="J449" s="31" t="n"/>
      <c r="K449" s="32" t="n"/>
      <c r="L449" s="32" t="n"/>
      <c r="M449" s="31" t="n"/>
      <c r="N449" s="32" t="n"/>
      <c r="O449" s="32" t="n"/>
      <c r="P449" s="33">
        <f>IF(J449="","",TODAY()-J449)</f>
        <v/>
      </c>
      <c r="Q449" s="5">
        <f>IF(AND(M449&lt;&gt;"",M449&lt;TODAY(),ISNA(MATCH(H449,{"Won","Lost","Do not contact"},0))),"OVERDUE","")</f>
        <v/>
      </c>
    </row>
    <row r="450">
      <c r="A450" s="31" t="n"/>
      <c r="B450" s="32" t="n"/>
      <c r="C450" s="32" t="n"/>
      <c r="D450" s="32" t="n"/>
      <c r="E450" s="32" t="n"/>
      <c r="F450" s="32" t="n"/>
      <c r="G450" s="32" t="n"/>
      <c r="H450" s="32" t="n"/>
      <c r="I450" s="32" t="n"/>
      <c r="J450" s="31" t="n"/>
      <c r="K450" s="32" t="n"/>
      <c r="L450" s="32" t="n"/>
      <c r="M450" s="31" t="n"/>
      <c r="N450" s="32" t="n"/>
      <c r="O450" s="32" t="n"/>
      <c r="P450" s="33">
        <f>IF(J450="","",TODAY()-J450)</f>
        <v/>
      </c>
      <c r="Q450" s="5">
        <f>IF(AND(M450&lt;&gt;"",M450&lt;TODAY(),ISNA(MATCH(H450,{"Won","Lost","Do not contact"},0))),"OVERDUE","")</f>
        <v/>
      </c>
    </row>
    <row r="451">
      <c r="A451" s="31" t="n"/>
      <c r="B451" s="32" t="n"/>
      <c r="C451" s="32" t="n"/>
      <c r="D451" s="32" t="n"/>
      <c r="E451" s="32" t="n"/>
      <c r="F451" s="32" t="n"/>
      <c r="G451" s="32" t="n"/>
      <c r="H451" s="32" t="n"/>
      <c r="I451" s="32" t="n"/>
      <c r="J451" s="31" t="n"/>
      <c r="K451" s="32" t="n"/>
      <c r="L451" s="32" t="n"/>
      <c r="M451" s="31" t="n"/>
      <c r="N451" s="32" t="n"/>
      <c r="O451" s="32" t="n"/>
      <c r="P451" s="33">
        <f>IF(J451="","",TODAY()-J451)</f>
        <v/>
      </c>
      <c r="Q451" s="5">
        <f>IF(AND(M451&lt;&gt;"",M451&lt;TODAY(),ISNA(MATCH(H451,{"Won","Lost","Do not contact"},0))),"OVERDUE","")</f>
        <v/>
      </c>
    </row>
    <row r="452">
      <c r="A452" s="31" t="n"/>
      <c r="B452" s="32" t="n"/>
      <c r="C452" s="32" t="n"/>
      <c r="D452" s="32" t="n"/>
      <c r="E452" s="32" t="n"/>
      <c r="F452" s="32" t="n"/>
      <c r="G452" s="32" t="n"/>
      <c r="H452" s="32" t="n"/>
      <c r="I452" s="32" t="n"/>
      <c r="J452" s="31" t="n"/>
      <c r="K452" s="32" t="n"/>
      <c r="L452" s="32" t="n"/>
      <c r="M452" s="31" t="n"/>
      <c r="N452" s="32" t="n"/>
      <c r="O452" s="32" t="n"/>
      <c r="P452" s="33">
        <f>IF(J452="","",TODAY()-J452)</f>
        <v/>
      </c>
      <c r="Q452" s="5">
        <f>IF(AND(M452&lt;&gt;"",M452&lt;TODAY(),ISNA(MATCH(H452,{"Won","Lost","Do not contact"},0))),"OVERDUE","")</f>
        <v/>
      </c>
    </row>
    <row r="453">
      <c r="A453" s="31" t="n"/>
      <c r="B453" s="32" t="n"/>
      <c r="C453" s="32" t="n"/>
      <c r="D453" s="32" t="n"/>
      <c r="E453" s="32" t="n"/>
      <c r="F453" s="32" t="n"/>
      <c r="G453" s="32" t="n"/>
      <c r="H453" s="32" t="n"/>
      <c r="I453" s="32" t="n"/>
      <c r="J453" s="31" t="n"/>
      <c r="K453" s="32" t="n"/>
      <c r="L453" s="32" t="n"/>
      <c r="M453" s="31" t="n"/>
      <c r="N453" s="32" t="n"/>
      <c r="O453" s="32" t="n"/>
      <c r="P453" s="33">
        <f>IF(J453="","",TODAY()-J453)</f>
        <v/>
      </c>
      <c r="Q453" s="5">
        <f>IF(AND(M453&lt;&gt;"",M453&lt;TODAY(),ISNA(MATCH(H453,{"Won","Lost","Do not contact"},0))),"OVERDUE","")</f>
        <v/>
      </c>
    </row>
    <row r="454">
      <c r="A454" s="31" t="n"/>
      <c r="B454" s="32" t="n"/>
      <c r="C454" s="32" t="n"/>
      <c r="D454" s="32" t="n"/>
      <c r="E454" s="32" t="n"/>
      <c r="F454" s="32" t="n"/>
      <c r="G454" s="32" t="n"/>
      <c r="H454" s="32" t="n"/>
      <c r="I454" s="32" t="n"/>
      <c r="J454" s="31" t="n"/>
      <c r="K454" s="32" t="n"/>
      <c r="L454" s="32" t="n"/>
      <c r="M454" s="31" t="n"/>
      <c r="N454" s="32" t="n"/>
      <c r="O454" s="32" t="n"/>
      <c r="P454" s="33">
        <f>IF(J454="","",TODAY()-J454)</f>
        <v/>
      </c>
      <c r="Q454" s="5">
        <f>IF(AND(M454&lt;&gt;"",M454&lt;TODAY(),ISNA(MATCH(H454,{"Won","Lost","Do not contact"},0))),"OVERDUE","")</f>
        <v/>
      </c>
    </row>
    <row r="455">
      <c r="A455" s="31" t="n"/>
      <c r="B455" s="32" t="n"/>
      <c r="C455" s="32" t="n"/>
      <c r="D455" s="32" t="n"/>
      <c r="E455" s="32" t="n"/>
      <c r="F455" s="32" t="n"/>
      <c r="G455" s="32" t="n"/>
      <c r="H455" s="32" t="n"/>
      <c r="I455" s="32" t="n"/>
      <c r="J455" s="31" t="n"/>
      <c r="K455" s="32" t="n"/>
      <c r="L455" s="32" t="n"/>
      <c r="M455" s="31" t="n"/>
      <c r="N455" s="32" t="n"/>
      <c r="O455" s="32" t="n"/>
      <c r="P455" s="33">
        <f>IF(J455="","",TODAY()-J455)</f>
        <v/>
      </c>
      <c r="Q455" s="5">
        <f>IF(AND(M455&lt;&gt;"",M455&lt;TODAY(),ISNA(MATCH(H455,{"Won","Lost","Do not contact"},0))),"OVERDUE","")</f>
        <v/>
      </c>
    </row>
    <row r="456">
      <c r="A456" s="31" t="n"/>
      <c r="B456" s="32" t="n"/>
      <c r="C456" s="32" t="n"/>
      <c r="D456" s="32" t="n"/>
      <c r="E456" s="32" t="n"/>
      <c r="F456" s="32" t="n"/>
      <c r="G456" s="32" t="n"/>
      <c r="H456" s="32" t="n"/>
      <c r="I456" s="32" t="n"/>
      <c r="J456" s="31" t="n"/>
      <c r="K456" s="32" t="n"/>
      <c r="L456" s="32" t="n"/>
      <c r="M456" s="31" t="n"/>
      <c r="N456" s="32" t="n"/>
      <c r="O456" s="32" t="n"/>
      <c r="P456" s="33">
        <f>IF(J456="","",TODAY()-J456)</f>
        <v/>
      </c>
      <c r="Q456" s="5">
        <f>IF(AND(M456&lt;&gt;"",M456&lt;TODAY(),ISNA(MATCH(H456,{"Won","Lost","Do not contact"},0))),"OVERDUE","")</f>
        <v/>
      </c>
    </row>
    <row r="457">
      <c r="A457" s="31" t="n"/>
      <c r="B457" s="32" t="n"/>
      <c r="C457" s="32" t="n"/>
      <c r="D457" s="32" t="n"/>
      <c r="E457" s="32" t="n"/>
      <c r="F457" s="32" t="n"/>
      <c r="G457" s="32" t="n"/>
      <c r="H457" s="32" t="n"/>
      <c r="I457" s="32" t="n"/>
      <c r="J457" s="31" t="n"/>
      <c r="K457" s="32" t="n"/>
      <c r="L457" s="32" t="n"/>
      <c r="M457" s="31" t="n"/>
      <c r="N457" s="32" t="n"/>
      <c r="O457" s="32" t="n"/>
      <c r="P457" s="33">
        <f>IF(J457="","",TODAY()-J457)</f>
        <v/>
      </c>
      <c r="Q457" s="5">
        <f>IF(AND(M457&lt;&gt;"",M457&lt;TODAY(),ISNA(MATCH(H457,{"Won","Lost","Do not contact"},0))),"OVERDUE","")</f>
        <v/>
      </c>
    </row>
    <row r="458">
      <c r="A458" s="31" t="n"/>
      <c r="B458" s="32" t="n"/>
      <c r="C458" s="32" t="n"/>
      <c r="D458" s="32" t="n"/>
      <c r="E458" s="32" t="n"/>
      <c r="F458" s="32" t="n"/>
      <c r="G458" s="32" t="n"/>
      <c r="H458" s="32" t="n"/>
      <c r="I458" s="32" t="n"/>
      <c r="J458" s="31" t="n"/>
      <c r="K458" s="32" t="n"/>
      <c r="L458" s="32" t="n"/>
      <c r="M458" s="31" t="n"/>
      <c r="N458" s="32" t="n"/>
      <c r="O458" s="32" t="n"/>
      <c r="P458" s="33">
        <f>IF(J458="","",TODAY()-J458)</f>
        <v/>
      </c>
      <c r="Q458" s="5">
        <f>IF(AND(M458&lt;&gt;"",M458&lt;TODAY(),ISNA(MATCH(H458,{"Won","Lost","Do not contact"},0))),"OVERDUE","")</f>
        <v/>
      </c>
    </row>
    <row r="459">
      <c r="A459" s="31" t="n"/>
      <c r="B459" s="32" t="n"/>
      <c r="C459" s="32" t="n"/>
      <c r="D459" s="32" t="n"/>
      <c r="E459" s="32" t="n"/>
      <c r="F459" s="32" t="n"/>
      <c r="G459" s="32" t="n"/>
      <c r="H459" s="32" t="n"/>
      <c r="I459" s="32" t="n"/>
      <c r="J459" s="31" t="n"/>
      <c r="K459" s="32" t="n"/>
      <c r="L459" s="32" t="n"/>
      <c r="M459" s="31" t="n"/>
      <c r="N459" s="32" t="n"/>
      <c r="O459" s="32" t="n"/>
      <c r="P459" s="33">
        <f>IF(J459="","",TODAY()-J459)</f>
        <v/>
      </c>
      <c r="Q459" s="5">
        <f>IF(AND(M459&lt;&gt;"",M459&lt;TODAY(),ISNA(MATCH(H459,{"Won","Lost","Do not contact"},0))),"OVERDUE","")</f>
        <v/>
      </c>
    </row>
    <row r="460">
      <c r="A460" s="31" t="n"/>
      <c r="B460" s="32" t="n"/>
      <c r="C460" s="32" t="n"/>
      <c r="D460" s="32" t="n"/>
      <c r="E460" s="32" t="n"/>
      <c r="F460" s="32" t="n"/>
      <c r="G460" s="32" t="n"/>
      <c r="H460" s="32" t="n"/>
      <c r="I460" s="32" t="n"/>
      <c r="J460" s="31" t="n"/>
      <c r="K460" s="32" t="n"/>
      <c r="L460" s="32" t="n"/>
      <c r="M460" s="31" t="n"/>
      <c r="N460" s="32" t="n"/>
      <c r="O460" s="32" t="n"/>
      <c r="P460" s="33">
        <f>IF(J460="","",TODAY()-J460)</f>
        <v/>
      </c>
      <c r="Q460" s="5">
        <f>IF(AND(M460&lt;&gt;"",M460&lt;TODAY(),ISNA(MATCH(H460,{"Won","Lost","Do not contact"},0))),"OVERDUE","")</f>
        <v/>
      </c>
    </row>
    <row r="461">
      <c r="A461" s="31" t="n"/>
      <c r="B461" s="32" t="n"/>
      <c r="C461" s="32" t="n"/>
      <c r="D461" s="32" t="n"/>
      <c r="E461" s="32" t="n"/>
      <c r="F461" s="32" t="n"/>
      <c r="G461" s="32" t="n"/>
      <c r="H461" s="32" t="n"/>
      <c r="I461" s="32" t="n"/>
      <c r="J461" s="31" t="n"/>
      <c r="K461" s="32" t="n"/>
      <c r="L461" s="32" t="n"/>
      <c r="M461" s="31" t="n"/>
      <c r="N461" s="32" t="n"/>
      <c r="O461" s="32" t="n"/>
      <c r="P461" s="33">
        <f>IF(J461="","",TODAY()-J461)</f>
        <v/>
      </c>
      <c r="Q461" s="5">
        <f>IF(AND(M461&lt;&gt;"",M461&lt;TODAY(),ISNA(MATCH(H461,{"Won","Lost","Do not contact"},0))),"OVERDUE","")</f>
        <v/>
      </c>
    </row>
    <row r="462">
      <c r="A462" s="31" t="n"/>
      <c r="B462" s="32" t="n"/>
      <c r="C462" s="32" t="n"/>
      <c r="D462" s="32" t="n"/>
      <c r="E462" s="32" t="n"/>
      <c r="F462" s="32" t="n"/>
      <c r="G462" s="32" t="n"/>
      <c r="H462" s="32" t="n"/>
      <c r="I462" s="32" t="n"/>
      <c r="J462" s="31" t="n"/>
      <c r="K462" s="32" t="n"/>
      <c r="L462" s="32" t="n"/>
      <c r="M462" s="31" t="n"/>
      <c r="N462" s="32" t="n"/>
      <c r="O462" s="32" t="n"/>
      <c r="P462" s="33">
        <f>IF(J462="","",TODAY()-J462)</f>
        <v/>
      </c>
      <c r="Q462" s="5">
        <f>IF(AND(M462&lt;&gt;"",M462&lt;TODAY(),ISNA(MATCH(H462,{"Won","Lost","Do not contact"},0))),"OVERDUE","")</f>
        <v/>
      </c>
    </row>
    <row r="463">
      <c r="A463" s="31" t="n"/>
      <c r="B463" s="32" t="n"/>
      <c r="C463" s="32" t="n"/>
      <c r="D463" s="32" t="n"/>
      <c r="E463" s="32" t="n"/>
      <c r="F463" s="32" t="n"/>
      <c r="G463" s="32" t="n"/>
      <c r="H463" s="32" t="n"/>
      <c r="I463" s="32" t="n"/>
      <c r="J463" s="31" t="n"/>
      <c r="K463" s="32" t="n"/>
      <c r="L463" s="32" t="n"/>
      <c r="M463" s="31" t="n"/>
      <c r="N463" s="32" t="n"/>
      <c r="O463" s="32" t="n"/>
      <c r="P463" s="33">
        <f>IF(J463="","",TODAY()-J463)</f>
        <v/>
      </c>
      <c r="Q463" s="5">
        <f>IF(AND(M463&lt;&gt;"",M463&lt;TODAY(),ISNA(MATCH(H463,{"Won","Lost","Do not contact"},0))),"OVERDUE","")</f>
        <v/>
      </c>
    </row>
    <row r="464">
      <c r="A464" s="31" t="n"/>
      <c r="B464" s="32" t="n"/>
      <c r="C464" s="32" t="n"/>
      <c r="D464" s="32" t="n"/>
      <c r="E464" s="32" t="n"/>
      <c r="F464" s="32" t="n"/>
      <c r="G464" s="32" t="n"/>
      <c r="H464" s="32" t="n"/>
      <c r="I464" s="32" t="n"/>
      <c r="J464" s="31" t="n"/>
      <c r="K464" s="32" t="n"/>
      <c r="L464" s="32" t="n"/>
      <c r="M464" s="31" t="n"/>
      <c r="N464" s="32" t="n"/>
      <c r="O464" s="32" t="n"/>
      <c r="P464" s="33">
        <f>IF(J464="","",TODAY()-J464)</f>
        <v/>
      </c>
      <c r="Q464" s="5">
        <f>IF(AND(M464&lt;&gt;"",M464&lt;TODAY(),ISNA(MATCH(H464,{"Won","Lost","Do not contact"},0))),"OVERDUE","")</f>
        <v/>
      </c>
    </row>
    <row r="465">
      <c r="A465" s="31" t="n"/>
      <c r="B465" s="32" t="n"/>
      <c r="C465" s="32" t="n"/>
      <c r="D465" s="32" t="n"/>
      <c r="E465" s="32" t="n"/>
      <c r="F465" s="32" t="n"/>
      <c r="G465" s="32" t="n"/>
      <c r="H465" s="32" t="n"/>
      <c r="I465" s="32" t="n"/>
      <c r="J465" s="31" t="n"/>
      <c r="K465" s="32" t="n"/>
      <c r="L465" s="32" t="n"/>
      <c r="M465" s="31" t="n"/>
      <c r="N465" s="32" t="n"/>
      <c r="O465" s="32" t="n"/>
      <c r="P465" s="33">
        <f>IF(J465="","",TODAY()-J465)</f>
        <v/>
      </c>
      <c r="Q465" s="5">
        <f>IF(AND(M465&lt;&gt;"",M465&lt;TODAY(),ISNA(MATCH(H465,{"Won","Lost","Do not contact"},0))),"OVERDUE","")</f>
        <v/>
      </c>
    </row>
    <row r="466">
      <c r="A466" s="31" t="n"/>
      <c r="B466" s="32" t="n"/>
      <c r="C466" s="32" t="n"/>
      <c r="D466" s="32" t="n"/>
      <c r="E466" s="32" t="n"/>
      <c r="F466" s="32" t="n"/>
      <c r="G466" s="32" t="n"/>
      <c r="H466" s="32" t="n"/>
      <c r="I466" s="32" t="n"/>
      <c r="J466" s="31" t="n"/>
      <c r="K466" s="32" t="n"/>
      <c r="L466" s="32" t="n"/>
      <c r="M466" s="31" t="n"/>
      <c r="N466" s="32" t="n"/>
      <c r="O466" s="32" t="n"/>
      <c r="P466" s="33">
        <f>IF(J466="","",TODAY()-J466)</f>
        <v/>
      </c>
      <c r="Q466" s="5">
        <f>IF(AND(M466&lt;&gt;"",M466&lt;TODAY(),ISNA(MATCH(H466,{"Won","Lost","Do not contact"},0))),"OVERDUE","")</f>
        <v/>
      </c>
    </row>
    <row r="467">
      <c r="A467" s="31" t="n"/>
      <c r="B467" s="32" t="n"/>
      <c r="C467" s="32" t="n"/>
      <c r="D467" s="32" t="n"/>
      <c r="E467" s="32" t="n"/>
      <c r="F467" s="32" t="n"/>
      <c r="G467" s="32" t="n"/>
      <c r="H467" s="32" t="n"/>
      <c r="I467" s="32" t="n"/>
      <c r="J467" s="31" t="n"/>
      <c r="K467" s="32" t="n"/>
      <c r="L467" s="32" t="n"/>
      <c r="M467" s="31" t="n"/>
      <c r="N467" s="32" t="n"/>
      <c r="O467" s="32" t="n"/>
      <c r="P467" s="33">
        <f>IF(J467="","",TODAY()-J467)</f>
        <v/>
      </c>
      <c r="Q467" s="5">
        <f>IF(AND(M467&lt;&gt;"",M467&lt;TODAY(),ISNA(MATCH(H467,{"Won","Lost","Do not contact"},0))),"OVERDUE","")</f>
        <v/>
      </c>
    </row>
    <row r="468">
      <c r="A468" s="31" t="n"/>
      <c r="B468" s="32" t="n"/>
      <c r="C468" s="32" t="n"/>
      <c r="D468" s="32" t="n"/>
      <c r="E468" s="32" t="n"/>
      <c r="F468" s="32" t="n"/>
      <c r="G468" s="32" t="n"/>
      <c r="H468" s="32" t="n"/>
      <c r="I468" s="32" t="n"/>
      <c r="J468" s="31" t="n"/>
      <c r="K468" s="32" t="n"/>
      <c r="L468" s="32" t="n"/>
      <c r="M468" s="31" t="n"/>
      <c r="N468" s="32" t="n"/>
      <c r="O468" s="32" t="n"/>
      <c r="P468" s="33">
        <f>IF(J468="","",TODAY()-J468)</f>
        <v/>
      </c>
      <c r="Q468" s="5">
        <f>IF(AND(M468&lt;&gt;"",M468&lt;TODAY(),ISNA(MATCH(H468,{"Won","Lost","Do not contact"},0))),"OVERDUE","")</f>
        <v/>
      </c>
    </row>
    <row r="469">
      <c r="A469" s="31" t="n"/>
      <c r="B469" s="32" t="n"/>
      <c r="C469" s="32" t="n"/>
      <c r="D469" s="32" t="n"/>
      <c r="E469" s="32" t="n"/>
      <c r="F469" s="32" t="n"/>
      <c r="G469" s="32" t="n"/>
      <c r="H469" s="32" t="n"/>
      <c r="I469" s="32" t="n"/>
      <c r="J469" s="31" t="n"/>
      <c r="K469" s="32" t="n"/>
      <c r="L469" s="32" t="n"/>
      <c r="M469" s="31" t="n"/>
      <c r="N469" s="32" t="n"/>
      <c r="O469" s="32" t="n"/>
      <c r="P469" s="33">
        <f>IF(J469="","",TODAY()-J469)</f>
        <v/>
      </c>
      <c r="Q469" s="5">
        <f>IF(AND(M469&lt;&gt;"",M469&lt;TODAY(),ISNA(MATCH(H469,{"Won","Lost","Do not contact"},0))),"OVERDUE","")</f>
        <v/>
      </c>
    </row>
    <row r="470">
      <c r="A470" s="31" t="n"/>
      <c r="B470" s="32" t="n"/>
      <c r="C470" s="32" t="n"/>
      <c r="D470" s="32" t="n"/>
      <c r="E470" s="32" t="n"/>
      <c r="F470" s="32" t="n"/>
      <c r="G470" s="32" t="n"/>
      <c r="H470" s="32" t="n"/>
      <c r="I470" s="32" t="n"/>
      <c r="J470" s="31" t="n"/>
      <c r="K470" s="32" t="n"/>
      <c r="L470" s="32" t="n"/>
      <c r="M470" s="31" t="n"/>
      <c r="N470" s="32" t="n"/>
      <c r="O470" s="32" t="n"/>
      <c r="P470" s="33">
        <f>IF(J470="","",TODAY()-J470)</f>
        <v/>
      </c>
      <c r="Q470" s="5">
        <f>IF(AND(M470&lt;&gt;"",M470&lt;TODAY(),ISNA(MATCH(H470,{"Won","Lost","Do not contact"},0))),"OVERDUE","")</f>
        <v/>
      </c>
    </row>
    <row r="471">
      <c r="A471" s="31" t="n"/>
      <c r="B471" s="32" t="n"/>
      <c r="C471" s="32" t="n"/>
      <c r="D471" s="32" t="n"/>
      <c r="E471" s="32" t="n"/>
      <c r="F471" s="32" t="n"/>
      <c r="G471" s="32" t="n"/>
      <c r="H471" s="32" t="n"/>
      <c r="I471" s="32" t="n"/>
      <c r="J471" s="31" t="n"/>
      <c r="K471" s="32" t="n"/>
      <c r="L471" s="32" t="n"/>
      <c r="M471" s="31" t="n"/>
      <c r="N471" s="32" t="n"/>
      <c r="O471" s="32" t="n"/>
      <c r="P471" s="33">
        <f>IF(J471="","",TODAY()-J471)</f>
        <v/>
      </c>
      <c r="Q471" s="5">
        <f>IF(AND(M471&lt;&gt;"",M471&lt;TODAY(),ISNA(MATCH(H471,{"Won","Lost","Do not contact"},0))),"OVERDUE","")</f>
        <v/>
      </c>
    </row>
    <row r="472">
      <c r="A472" s="31" t="n"/>
      <c r="B472" s="32" t="n"/>
      <c r="C472" s="32" t="n"/>
      <c r="D472" s="32" t="n"/>
      <c r="E472" s="32" t="n"/>
      <c r="F472" s="32" t="n"/>
      <c r="G472" s="32" t="n"/>
      <c r="H472" s="32" t="n"/>
      <c r="I472" s="32" t="n"/>
      <c r="J472" s="31" t="n"/>
      <c r="K472" s="32" t="n"/>
      <c r="L472" s="32" t="n"/>
      <c r="M472" s="31" t="n"/>
      <c r="N472" s="32" t="n"/>
      <c r="O472" s="32" t="n"/>
      <c r="P472" s="33">
        <f>IF(J472="","",TODAY()-J472)</f>
        <v/>
      </c>
      <c r="Q472" s="5">
        <f>IF(AND(M472&lt;&gt;"",M472&lt;TODAY(),ISNA(MATCH(H472,{"Won","Lost","Do not contact"},0))),"OVERDUE","")</f>
        <v/>
      </c>
    </row>
    <row r="473">
      <c r="A473" s="31" t="n"/>
      <c r="B473" s="32" t="n"/>
      <c r="C473" s="32" t="n"/>
      <c r="D473" s="32" t="n"/>
      <c r="E473" s="32" t="n"/>
      <c r="F473" s="32" t="n"/>
      <c r="G473" s="32" t="n"/>
      <c r="H473" s="32" t="n"/>
      <c r="I473" s="32" t="n"/>
      <c r="J473" s="31" t="n"/>
      <c r="K473" s="32" t="n"/>
      <c r="L473" s="32" t="n"/>
      <c r="M473" s="31" t="n"/>
      <c r="N473" s="32" t="n"/>
      <c r="O473" s="32" t="n"/>
      <c r="P473" s="33">
        <f>IF(J473="","",TODAY()-J473)</f>
        <v/>
      </c>
      <c r="Q473" s="5">
        <f>IF(AND(M473&lt;&gt;"",M473&lt;TODAY(),ISNA(MATCH(H473,{"Won","Lost","Do not contact"},0))),"OVERDUE","")</f>
        <v/>
      </c>
    </row>
    <row r="474">
      <c r="A474" s="31" t="n"/>
      <c r="B474" s="32" t="n"/>
      <c r="C474" s="32" t="n"/>
      <c r="D474" s="32" t="n"/>
      <c r="E474" s="32" t="n"/>
      <c r="F474" s="32" t="n"/>
      <c r="G474" s="32" t="n"/>
      <c r="H474" s="32" t="n"/>
      <c r="I474" s="32" t="n"/>
      <c r="J474" s="31" t="n"/>
      <c r="K474" s="32" t="n"/>
      <c r="L474" s="32" t="n"/>
      <c r="M474" s="31" t="n"/>
      <c r="N474" s="32" t="n"/>
      <c r="O474" s="32" t="n"/>
      <c r="P474" s="33">
        <f>IF(J474="","",TODAY()-J474)</f>
        <v/>
      </c>
      <c r="Q474" s="5">
        <f>IF(AND(M474&lt;&gt;"",M474&lt;TODAY(),ISNA(MATCH(H474,{"Won","Lost","Do not contact"},0))),"OVERDUE","")</f>
        <v/>
      </c>
    </row>
    <row r="475">
      <c r="A475" s="31" t="n"/>
      <c r="B475" s="32" t="n"/>
      <c r="C475" s="32" t="n"/>
      <c r="D475" s="32" t="n"/>
      <c r="E475" s="32" t="n"/>
      <c r="F475" s="32" t="n"/>
      <c r="G475" s="32" t="n"/>
      <c r="H475" s="32" t="n"/>
      <c r="I475" s="32" t="n"/>
      <c r="J475" s="31" t="n"/>
      <c r="K475" s="32" t="n"/>
      <c r="L475" s="32" t="n"/>
      <c r="M475" s="31" t="n"/>
      <c r="N475" s="32" t="n"/>
      <c r="O475" s="32" t="n"/>
      <c r="P475" s="33">
        <f>IF(J475="","",TODAY()-J475)</f>
        <v/>
      </c>
      <c r="Q475" s="5">
        <f>IF(AND(M475&lt;&gt;"",M475&lt;TODAY(),ISNA(MATCH(H475,{"Won","Lost","Do not contact"},0))),"OVERDUE","")</f>
        <v/>
      </c>
    </row>
    <row r="476">
      <c r="A476" s="31" t="n"/>
      <c r="B476" s="32" t="n"/>
      <c r="C476" s="32" t="n"/>
      <c r="D476" s="32" t="n"/>
      <c r="E476" s="32" t="n"/>
      <c r="F476" s="32" t="n"/>
      <c r="G476" s="32" t="n"/>
      <c r="H476" s="32" t="n"/>
      <c r="I476" s="32" t="n"/>
      <c r="J476" s="31" t="n"/>
      <c r="K476" s="32" t="n"/>
      <c r="L476" s="32" t="n"/>
      <c r="M476" s="31" t="n"/>
      <c r="N476" s="32" t="n"/>
      <c r="O476" s="32" t="n"/>
      <c r="P476" s="33">
        <f>IF(J476="","",TODAY()-J476)</f>
        <v/>
      </c>
      <c r="Q476" s="5">
        <f>IF(AND(M476&lt;&gt;"",M476&lt;TODAY(),ISNA(MATCH(H476,{"Won","Lost","Do not contact"},0))),"OVERDUE","")</f>
        <v/>
      </c>
    </row>
    <row r="477">
      <c r="A477" s="31" t="n"/>
      <c r="B477" s="32" t="n"/>
      <c r="C477" s="32" t="n"/>
      <c r="D477" s="32" t="n"/>
      <c r="E477" s="32" t="n"/>
      <c r="F477" s="32" t="n"/>
      <c r="G477" s="32" t="n"/>
      <c r="H477" s="32" t="n"/>
      <c r="I477" s="32" t="n"/>
      <c r="J477" s="31" t="n"/>
      <c r="K477" s="32" t="n"/>
      <c r="L477" s="32" t="n"/>
      <c r="M477" s="31" t="n"/>
      <c r="N477" s="32" t="n"/>
      <c r="O477" s="32" t="n"/>
      <c r="P477" s="33">
        <f>IF(J477="","",TODAY()-J477)</f>
        <v/>
      </c>
      <c r="Q477" s="5">
        <f>IF(AND(M477&lt;&gt;"",M477&lt;TODAY(),ISNA(MATCH(H477,{"Won","Lost","Do not contact"},0))),"OVERDUE","")</f>
        <v/>
      </c>
    </row>
    <row r="478">
      <c r="A478" s="31" t="n"/>
      <c r="B478" s="32" t="n"/>
      <c r="C478" s="32" t="n"/>
      <c r="D478" s="32" t="n"/>
      <c r="E478" s="32" t="n"/>
      <c r="F478" s="32" t="n"/>
      <c r="G478" s="32" t="n"/>
      <c r="H478" s="32" t="n"/>
      <c r="I478" s="32" t="n"/>
      <c r="J478" s="31" t="n"/>
      <c r="K478" s="32" t="n"/>
      <c r="L478" s="32" t="n"/>
      <c r="M478" s="31" t="n"/>
      <c r="N478" s="32" t="n"/>
      <c r="O478" s="32" t="n"/>
      <c r="P478" s="33">
        <f>IF(J478="","",TODAY()-J478)</f>
        <v/>
      </c>
      <c r="Q478" s="5">
        <f>IF(AND(M478&lt;&gt;"",M478&lt;TODAY(),ISNA(MATCH(H478,{"Won","Lost","Do not contact"},0))),"OVERDUE","")</f>
        <v/>
      </c>
    </row>
    <row r="479">
      <c r="A479" s="31" t="n"/>
      <c r="B479" s="32" t="n"/>
      <c r="C479" s="32" t="n"/>
      <c r="D479" s="32" t="n"/>
      <c r="E479" s="32" t="n"/>
      <c r="F479" s="32" t="n"/>
      <c r="G479" s="32" t="n"/>
      <c r="H479" s="32" t="n"/>
      <c r="I479" s="32" t="n"/>
      <c r="J479" s="31" t="n"/>
      <c r="K479" s="32" t="n"/>
      <c r="L479" s="32" t="n"/>
      <c r="M479" s="31" t="n"/>
      <c r="N479" s="32" t="n"/>
      <c r="O479" s="32" t="n"/>
      <c r="P479" s="33">
        <f>IF(J479="","",TODAY()-J479)</f>
        <v/>
      </c>
      <c r="Q479" s="5">
        <f>IF(AND(M479&lt;&gt;"",M479&lt;TODAY(),ISNA(MATCH(H479,{"Won","Lost","Do not contact"},0))),"OVERDUE","")</f>
        <v/>
      </c>
    </row>
    <row r="480">
      <c r="A480" s="31" t="n"/>
      <c r="B480" s="32" t="n"/>
      <c r="C480" s="32" t="n"/>
      <c r="D480" s="32" t="n"/>
      <c r="E480" s="32" t="n"/>
      <c r="F480" s="32" t="n"/>
      <c r="G480" s="32" t="n"/>
      <c r="H480" s="32" t="n"/>
      <c r="I480" s="32" t="n"/>
      <c r="J480" s="31" t="n"/>
      <c r="K480" s="32" t="n"/>
      <c r="L480" s="32" t="n"/>
      <c r="M480" s="31" t="n"/>
      <c r="N480" s="32" t="n"/>
      <c r="O480" s="32" t="n"/>
      <c r="P480" s="33">
        <f>IF(J480="","",TODAY()-J480)</f>
        <v/>
      </c>
      <c r="Q480" s="5">
        <f>IF(AND(M480&lt;&gt;"",M480&lt;TODAY(),ISNA(MATCH(H480,{"Won","Lost","Do not contact"},0))),"OVERDUE","")</f>
        <v/>
      </c>
    </row>
    <row r="481">
      <c r="A481" s="31" t="n"/>
      <c r="B481" s="32" t="n"/>
      <c r="C481" s="32" t="n"/>
      <c r="D481" s="32" t="n"/>
      <c r="E481" s="32" t="n"/>
      <c r="F481" s="32" t="n"/>
      <c r="G481" s="32" t="n"/>
      <c r="H481" s="32" t="n"/>
      <c r="I481" s="32" t="n"/>
      <c r="J481" s="31" t="n"/>
      <c r="K481" s="32" t="n"/>
      <c r="L481" s="32" t="n"/>
      <c r="M481" s="31" t="n"/>
      <c r="N481" s="32" t="n"/>
      <c r="O481" s="32" t="n"/>
      <c r="P481" s="33">
        <f>IF(J481="","",TODAY()-J481)</f>
        <v/>
      </c>
      <c r="Q481" s="5">
        <f>IF(AND(M481&lt;&gt;"",M481&lt;TODAY(),ISNA(MATCH(H481,{"Won","Lost","Do not contact"},0))),"OVERDUE","")</f>
        <v/>
      </c>
    </row>
    <row r="482">
      <c r="A482" s="31" t="n"/>
      <c r="B482" s="32" t="n"/>
      <c r="C482" s="32" t="n"/>
      <c r="D482" s="32" t="n"/>
      <c r="E482" s="32" t="n"/>
      <c r="F482" s="32" t="n"/>
      <c r="G482" s="32" t="n"/>
      <c r="H482" s="32" t="n"/>
      <c r="I482" s="32" t="n"/>
      <c r="J482" s="31" t="n"/>
      <c r="K482" s="32" t="n"/>
      <c r="L482" s="32" t="n"/>
      <c r="M482" s="31" t="n"/>
      <c r="N482" s="32" t="n"/>
      <c r="O482" s="32" t="n"/>
      <c r="P482" s="33">
        <f>IF(J482="","",TODAY()-J482)</f>
        <v/>
      </c>
      <c r="Q482" s="5">
        <f>IF(AND(M482&lt;&gt;"",M482&lt;TODAY(),ISNA(MATCH(H482,{"Won","Lost","Do not contact"},0))),"OVERDUE","")</f>
        <v/>
      </c>
    </row>
    <row r="483">
      <c r="A483" s="31" t="n"/>
      <c r="B483" s="32" t="n"/>
      <c r="C483" s="32" t="n"/>
      <c r="D483" s="32" t="n"/>
      <c r="E483" s="32" t="n"/>
      <c r="F483" s="32" t="n"/>
      <c r="G483" s="32" t="n"/>
      <c r="H483" s="32" t="n"/>
      <c r="I483" s="32" t="n"/>
      <c r="J483" s="31" t="n"/>
      <c r="K483" s="32" t="n"/>
      <c r="L483" s="32" t="n"/>
      <c r="M483" s="31" t="n"/>
      <c r="N483" s="32" t="n"/>
      <c r="O483" s="32" t="n"/>
      <c r="P483" s="33">
        <f>IF(J483="","",TODAY()-J483)</f>
        <v/>
      </c>
      <c r="Q483" s="5">
        <f>IF(AND(M483&lt;&gt;"",M483&lt;TODAY(),ISNA(MATCH(H483,{"Won","Lost","Do not contact"},0))),"OVERDUE","")</f>
        <v/>
      </c>
    </row>
    <row r="484">
      <c r="A484" s="31" t="n"/>
      <c r="B484" s="32" t="n"/>
      <c r="C484" s="32" t="n"/>
      <c r="D484" s="32" t="n"/>
      <c r="E484" s="32" t="n"/>
      <c r="F484" s="32" t="n"/>
      <c r="G484" s="32" t="n"/>
      <c r="H484" s="32" t="n"/>
      <c r="I484" s="32" t="n"/>
      <c r="J484" s="31" t="n"/>
      <c r="K484" s="32" t="n"/>
      <c r="L484" s="32" t="n"/>
      <c r="M484" s="31" t="n"/>
      <c r="N484" s="32" t="n"/>
      <c r="O484" s="32" t="n"/>
      <c r="P484" s="33">
        <f>IF(J484="","",TODAY()-J484)</f>
        <v/>
      </c>
      <c r="Q484" s="5">
        <f>IF(AND(M484&lt;&gt;"",M484&lt;TODAY(),ISNA(MATCH(H484,{"Won","Lost","Do not contact"},0))),"OVERDUE","")</f>
        <v/>
      </c>
    </row>
    <row r="485">
      <c r="A485" s="31" t="n"/>
      <c r="B485" s="32" t="n"/>
      <c r="C485" s="32" t="n"/>
      <c r="D485" s="32" t="n"/>
      <c r="E485" s="32" t="n"/>
      <c r="F485" s="32" t="n"/>
      <c r="G485" s="32" t="n"/>
      <c r="H485" s="32" t="n"/>
      <c r="I485" s="32" t="n"/>
      <c r="J485" s="31" t="n"/>
      <c r="K485" s="32" t="n"/>
      <c r="L485" s="32" t="n"/>
      <c r="M485" s="31" t="n"/>
      <c r="N485" s="32" t="n"/>
      <c r="O485" s="32" t="n"/>
      <c r="P485" s="33">
        <f>IF(J485="","",TODAY()-J485)</f>
        <v/>
      </c>
      <c r="Q485" s="5">
        <f>IF(AND(M485&lt;&gt;"",M485&lt;TODAY(),ISNA(MATCH(H485,{"Won","Lost","Do not contact"},0))),"OVERDUE","")</f>
        <v/>
      </c>
    </row>
    <row r="486">
      <c r="A486" s="31" t="n"/>
      <c r="B486" s="32" t="n"/>
      <c r="C486" s="32" t="n"/>
      <c r="D486" s="32" t="n"/>
      <c r="E486" s="32" t="n"/>
      <c r="F486" s="32" t="n"/>
      <c r="G486" s="32" t="n"/>
      <c r="H486" s="32" t="n"/>
      <c r="I486" s="32" t="n"/>
      <c r="J486" s="31" t="n"/>
      <c r="K486" s="32" t="n"/>
      <c r="L486" s="32" t="n"/>
      <c r="M486" s="31" t="n"/>
      <c r="N486" s="32" t="n"/>
      <c r="O486" s="32" t="n"/>
      <c r="P486" s="33">
        <f>IF(J486="","",TODAY()-J486)</f>
        <v/>
      </c>
      <c r="Q486" s="5">
        <f>IF(AND(M486&lt;&gt;"",M486&lt;TODAY(),ISNA(MATCH(H486,{"Won","Lost","Do not contact"},0))),"OVERDUE","")</f>
        <v/>
      </c>
    </row>
    <row r="487">
      <c r="A487" s="31" t="n"/>
      <c r="B487" s="32" t="n"/>
      <c r="C487" s="32" t="n"/>
      <c r="D487" s="32" t="n"/>
      <c r="E487" s="32" t="n"/>
      <c r="F487" s="32" t="n"/>
      <c r="G487" s="32" t="n"/>
      <c r="H487" s="32" t="n"/>
      <c r="I487" s="32" t="n"/>
      <c r="J487" s="31" t="n"/>
      <c r="K487" s="32" t="n"/>
      <c r="L487" s="32" t="n"/>
      <c r="M487" s="31" t="n"/>
      <c r="N487" s="32" t="n"/>
      <c r="O487" s="32" t="n"/>
      <c r="P487" s="33">
        <f>IF(J487="","",TODAY()-J487)</f>
        <v/>
      </c>
      <c r="Q487" s="5">
        <f>IF(AND(M487&lt;&gt;"",M487&lt;TODAY(),ISNA(MATCH(H487,{"Won","Lost","Do not contact"},0))),"OVERDUE","")</f>
        <v/>
      </c>
    </row>
    <row r="488">
      <c r="A488" s="31" t="n"/>
      <c r="B488" s="32" t="n"/>
      <c r="C488" s="32" t="n"/>
      <c r="D488" s="32" t="n"/>
      <c r="E488" s="32" t="n"/>
      <c r="F488" s="32" t="n"/>
      <c r="G488" s="32" t="n"/>
      <c r="H488" s="32" t="n"/>
      <c r="I488" s="32" t="n"/>
      <c r="J488" s="31" t="n"/>
      <c r="K488" s="32" t="n"/>
      <c r="L488" s="32" t="n"/>
      <c r="M488" s="31" t="n"/>
      <c r="N488" s="32" t="n"/>
      <c r="O488" s="32" t="n"/>
      <c r="P488" s="33">
        <f>IF(J488="","",TODAY()-J488)</f>
        <v/>
      </c>
      <c r="Q488" s="5">
        <f>IF(AND(M488&lt;&gt;"",M488&lt;TODAY(),ISNA(MATCH(H488,{"Won","Lost","Do not contact"},0))),"OVERDUE","")</f>
        <v/>
      </c>
    </row>
    <row r="489">
      <c r="A489" s="31" t="n"/>
      <c r="B489" s="32" t="n"/>
      <c r="C489" s="32" t="n"/>
      <c r="D489" s="32" t="n"/>
      <c r="E489" s="32" t="n"/>
      <c r="F489" s="32" t="n"/>
      <c r="G489" s="32" t="n"/>
      <c r="H489" s="32" t="n"/>
      <c r="I489" s="32" t="n"/>
      <c r="J489" s="31" t="n"/>
      <c r="K489" s="32" t="n"/>
      <c r="L489" s="32" t="n"/>
      <c r="M489" s="31" t="n"/>
      <c r="N489" s="32" t="n"/>
      <c r="O489" s="32" t="n"/>
      <c r="P489" s="33">
        <f>IF(J489="","",TODAY()-J489)</f>
        <v/>
      </c>
      <c r="Q489" s="5">
        <f>IF(AND(M489&lt;&gt;"",M489&lt;TODAY(),ISNA(MATCH(H489,{"Won","Lost","Do not contact"},0))),"OVERDUE","")</f>
        <v/>
      </c>
    </row>
    <row r="490">
      <c r="A490" s="31" t="n"/>
      <c r="B490" s="32" t="n"/>
      <c r="C490" s="32" t="n"/>
      <c r="D490" s="32" t="n"/>
      <c r="E490" s="32" t="n"/>
      <c r="F490" s="32" t="n"/>
      <c r="G490" s="32" t="n"/>
      <c r="H490" s="32" t="n"/>
      <c r="I490" s="32" t="n"/>
      <c r="J490" s="31" t="n"/>
      <c r="K490" s="32" t="n"/>
      <c r="L490" s="32" t="n"/>
      <c r="M490" s="31" t="n"/>
      <c r="N490" s="32" t="n"/>
      <c r="O490" s="32" t="n"/>
      <c r="P490" s="33">
        <f>IF(J490="","",TODAY()-J490)</f>
        <v/>
      </c>
      <c r="Q490" s="5">
        <f>IF(AND(M490&lt;&gt;"",M490&lt;TODAY(),ISNA(MATCH(H490,{"Won","Lost","Do not contact"},0))),"OVERDUE","")</f>
        <v/>
      </c>
    </row>
    <row r="491">
      <c r="A491" s="31" t="n"/>
      <c r="B491" s="32" t="n"/>
      <c r="C491" s="32" t="n"/>
      <c r="D491" s="32" t="n"/>
      <c r="E491" s="32" t="n"/>
      <c r="F491" s="32" t="n"/>
      <c r="G491" s="32" t="n"/>
      <c r="H491" s="32" t="n"/>
      <c r="I491" s="32" t="n"/>
      <c r="J491" s="31" t="n"/>
      <c r="K491" s="32" t="n"/>
      <c r="L491" s="32" t="n"/>
      <c r="M491" s="31" t="n"/>
      <c r="N491" s="32" t="n"/>
      <c r="O491" s="32" t="n"/>
      <c r="P491" s="33">
        <f>IF(J491="","",TODAY()-J491)</f>
        <v/>
      </c>
      <c r="Q491" s="5">
        <f>IF(AND(M491&lt;&gt;"",M491&lt;TODAY(),ISNA(MATCH(H491,{"Won","Lost","Do not contact"},0))),"OVERDUE","")</f>
        <v/>
      </c>
    </row>
    <row r="492">
      <c r="A492" s="31" t="n"/>
      <c r="B492" s="32" t="n"/>
      <c r="C492" s="32" t="n"/>
      <c r="D492" s="32" t="n"/>
      <c r="E492" s="32" t="n"/>
      <c r="F492" s="32" t="n"/>
      <c r="G492" s="32" t="n"/>
      <c r="H492" s="32" t="n"/>
      <c r="I492" s="32" t="n"/>
      <c r="J492" s="31" t="n"/>
      <c r="K492" s="32" t="n"/>
      <c r="L492" s="32" t="n"/>
      <c r="M492" s="31" t="n"/>
      <c r="N492" s="32" t="n"/>
      <c r="O492" s="32" t="n"/>
      <c r="P492" s="33">
        <f>IF(J492="","",TODAY()-J492)</f>
        <v/>
      </c>
      <c r="Q492" s="5">
        <f>IF(AND(M492&lt;&gt;"",M492&lt;TODAY(),ISNA(MATCH(H492,{"Won","Lost","Do not contact"},0))),"OVERDUE","")</f>
        <v/>
      </c>
    </row>
    <row r="493">
      <c r="A493" s="31" t="n"/>
      <c r="B493" s="32" t="n"/>
      <c r="C493" s="32" t="n"/>
      <c r="D493" s="32" t="n"/>
      <c r="E493" s="32" t="n"/>
      <c r="F493" s="32" t="n"/>
      <c r="G493" s="32" t="n"/>
      <c r="H493" s="32" t="n"/>
      <c r="I493" s="32" t="n"/>
      <c r="J493" s="31" t="n"/>
      <c r="K493" s="32" t="n"/>
      <c r="L493" s="32" t="n"/>
      <c r="M493" s="31" t="n"/>
      <c r="N493" s="32" t="n"/>
      <c r="O493" s="32" t="n"/>
      <c r="P493" s="33">
        <f>IF(J493="","",TODAY()-J493)</f>
        <v/>
      </c>
      <c r="Q493" s="5">
        <f>IF(AND(M493&lt;&gt;"",M493&lt;TODAY(),ISNA(MATCH(H493,{"Won","Lost","Do not contact"},0))),"OVERDUE","")</f>
        <v/>
      </c>
    </row>
    <row r="494">
      <c r="A494" s="31" t="n"/>
      <c r="B494" s="32" t="n"/>
      <c r="C494" s="32" t="n"/>
      <c r="D494" s="32" t="n"/>
      <c r="E494" s="32" t="n"/>
      <c r="F494" s="32" t="n"/>
      <c r="G494" s="32" t="n"/>
      <c r="H494" s="32" t="n"/>
      <c r="I494" s="32" t="n"/>
      <c r="J494" s="31" t="n"/>
      <c r="K494" s="32" t="n"/>
      <c r="L494" s="32" t="n"/>
      <c r="M494" s="31" t="n"/>
      <c r="N494" s="32" t="n"/>
      <c r="O494" s="32" t="n"/>
      <c r="P494" s="33">
        <f>IF(J494="","",TODAY()-J494)</f>
        <v/>
      </c>
      <c r="Q494" s="5">
        <f>IF(AND(M494&lt;&gt;"",M494&lt;TODAY(),ISNA(MATCH(H494,{"Won","Lost","Do not contact"},0))),"OVERDUE","")</f>
        <v/>
      </c>
    </row>
    <row r="495">
      <c r="A495" s="31" t="n"/>
      <c r="B495" s="32" t="n"/>
      <c r="C495" s="32" t="n"/>
      <c r="D495" s="32" t="n"/>
      <c r="E495" s="32" t="n"/>
      <c r="F495" s="32" t="n"/>
      <c r="G495" s="32" t="n"/>
      <c r="H495" s="32" t="n"/>
      <c r="I495" s="32" t="n"/>
      <c r="J495" s="31" t="n"/>
      <c r="K495" s="32" t="n"/>
      <c r="L495" s="32" t="n"/>
      <c r="M495" s="31" t="n"/>
      <c r="N495" s="32" t="n"/>
      <c r="O495" s="32" t="n"/>
      <c r="P495" s="33">
        <f>IF(J495="","",TODAY()-J495)</f>
        <v/>
      </c>
      <c r="Q495" s="5">
        <f>IF(AND(M495&lt;&gt;"",M495&lt;TODAY(),ISNA(MATCH(H495,{"Won","Lost","Do not contact"},0))),"OVERDUE","")</f>
        <v/>
      </c>
    </row>
    <row r="496">
      <c r="A496" s="31" t="n"/>
      <c r="B496" s="32" t="n"/>
      <c r="C496" s="32" t="n"/>
      <c r="D496" s="32" t="n"/>
      <c r="E496" s="32" t="n"/>
      <c r="F496" s="32" t="n"/>
      <c r="G496" s="32" t="n"/>
      <c r="H496" s="32" t="n"/>
      <c r="I496" s="32" t="n"/>
      <c r="J496" s="31" t="n"/>
      <c r="K496" s="32" t="n"/>
      <c r="L496" s="32" t="n"/>
      <c r="M496" s="31" t="n"/>
      <c r="N496" s="32" t="n"/>
      <c r="O496" s="32" t="n"/>
      <c r="P496" s="33">
        <f>IF(J496="","",TODAY()-J496)</f>
        <v/>
      </c>
      <c r="Q496" s="5">
        <f>IF(AND(M496&lt;&gt;"",M496&lt;TODAY(),ISNA(MATCH(H496,{"Won","Lost","Do not contact"},0))),"OVERDUE","")</f>
        <v/>
      </c>
    </row>
    <row r="497">
      <c r="A497" s="31" t="n"/>
      <c r="B497" s="32" t="n"/>
      <c r="C497" s="32" t="n"/>
      <c r="D497" s="32" t="n"/>
      <c r="E497" s="32" t="n"/>
      <c r="F497" s="32" t="n"/>
      <c r="G497" s="32" t="n"/>
      <c r="H497" s="32" t="n"/>
      <c r="I497" s="32" t="n"/>
      <c r="J497" s="31" t="n"/>
      <c r="K497" s="32" t="n"/>
      <c r="L497" s="32" t="n"/>
      <c r="M497" s="31" t="n"/>
      <c r="N497" s="32" t="n"/>
      <c r="O497" s="32" t="n"/>
      <c r="P497" s="33">
        <f>IF(J497="","",TODAY()-J497)</f>
        <v/>
      </c>
      <c r="Q497" s="5">
        <f>IF(AND(M497&lt;&gt;"",M497&lt;TODAY(),ISNA(MATCH(H497,{"Won","Lost","Do not contact"},0))),"OVERDUE","")</f>
        <v/>
      </c>
    </row>
    <row r="498">
      <c r="A498" s="31" t="n"/>
      <c r="B498" s="32" t="n"/>
      <c r="C498" s="32" t="n"/>
      <c r="D498" s="32" t="n"/>
      <c r="E498" s="32" t="n"/>
      <c r="F498" s="32" t="n"/>
      <c r="G498" s="32" t="n"/>
      <c r="H498" s="32" t="n"/>
      <c r="I498" s="32" t="n"/>
      <c r="J498" s="31" t="n"/>
      <c r="K498" s="32" t="n"/>
      <c r="L498" s="32" t="n"/>
      <c r="M498" s="31" t="n"/>
      <c r="N498" s="32" t="n"/>
      <c r="O498" s="32" t="n"/>
      <c r="P498" s="33">
        <f>IF(J498="","",TODAY()-J498)</f>
        <v/>
      </c>
      <c r="Q498" s="5">
        <f>IF(AND(M498&lt;&gt;"",M498&lt;TODAY(),ISNA(MATCH(H498,{"Won","Lost","Do not contact"},0))),"OVERDUE","")</f>
        <v/>
      </c>
    </row>
    <row r="499">
      <c r="A499" s="31" t="n"/>
      <c r="B499" s="32" t="n"/>
      <c r="C499" s="32" t="n"/>
      <c r="D499" s="32" t="n"/>
      <c r="E499" s="32" t="n"/>
      <c r="F499" s="32" t="n"/>
      <c r="G499" s="32" t="n"/>
      <c r="H499" s="32" t="n"/>
      <c r="I499" s="32" t="n"/>
      <c r="J499" s="31" t="n"/>
      <c r="K499" s="32" t="n"/>
      <c r="L499" s="32" t="n"/>
      <c r="M499" s="31" t="n"/>
      <c r="N499" s="32" t="n"/>
      <c r="O499" s="32" t="n"/>
      <c r="P499" s="33">
        <f>IF(J499="","",TODAY()-J499)</f>
        <v/>
      </c>
      <c r="Q499" s="5">
        <f>IF(AND(M499&lt;&gt;"",M499&lt;TODAY(),ISNA(MATCH(H499,{"Won","Lost","Do not contact"},0))),"OVERDUE","")</f>
        <v/>
      </c>
    </row>
    <row r="500">
      <c r="A500" s="31" t="n"/>
      <c r="B500" s="32" t="n"/>
      <c r="C500" s="32" t="n"/>
      <c r="D500" s="32" t="n"/>
      <c r="E500" s="32" t="n"/>
      <c r="F500" s="32" t="n"/>
      <c r="G500" s="32" t="n"/>
      <c r="H500" s="32" t="n"/>
      <c r="I500" s="32" t="n"/>
      <c r="J500" s="31" t="n"/>
      <c r="K500" s="32" t="n"/>
      <c r="L500" s="32" t="n"/>
      <c r="M500" s="31" t="n"/>
      <c r="N500" s="32" t="n"/>
      <c r="O500" s="32" t="n"/>
      <c r="P500" s="33">
        <f>IF(J500="","",TODAY()-J500)</f>
        <v/>
      </c>
      <c r="Q500" s="5">
        <f>IF(AND(M500&lt;&gt;"",M500&lt;TODAY(),ISNA(MATCH(H500,{"Won","Lost","Do not contact"},0))),"OVERDUE","")</f>
        <v/>
      </c>
    </row>
    <row r="501">
      <c r="A501" s="31" t="n"/>
      <c r="B501" s="32" t="n"/>
      <c r="C501" s="32" t="n"/>
      <c r="D501" s="32" t="n"/>
      <c r="E501" s="32" t="n"/>
      <c r="F501" s="32" t="n"/>
      <c r="G501" s="32" t="n"/>
      <c r="H501" s="32" t="n"/>
      <c r="I501" s="32" t="n"/>
      <c r="J501" s="31" t="n"/>
      <c r="K501" s="32" t="n"/>
      <c r="L501" s="32" t="n"/>
      <c r="M501" s="31" t="n"/>
      <c r="N501" s="32" t="n"/>
      <c r="O501" s="32" t="n"/>
      <c r="P501" s="33">
        <f>IF(J501="","",TODAY()-J501)</f>
        <v/>
      </c>
      <c r="Q501" s="5">
        <f>IF(AND(M501&lt;&gt;"",M501&lt;TODAY(),ISNA(MATCH(H501,{"Won","Lost","Do not contact"},0))),"OVERDUE","")</f>
        <v/>
      </c>
    </row>
    <row r="502">
      <c r="A502" s="31" t="n"/>
      <c r="B502" s="32" t="n"/>
      <c r="C502" s="32" t="n"/>
      <c r="D502" s="32" t="n"/>
      <c r="E502" s="32" t="n"/>
      <c r="F502" s="32" t="n"/>
      <c r="G502" s="32" t="n"/>
      <c r="H502" s="32" t="n"/>
      <c r="I502" s="32" t="n"/>
      <c r="J502" s="31" t="n"/>
      <c r="K502" s="32" t="n"/>
      <c r="L502" s="32" t="n"/>
      <c r="M502" s="31" t="n"/>
      <c r="N502" s="32" t="n"/>
      <c r="O502" s="32" t="n"/>
      <c r="P502" s="33">
        <f>IF(J502="","",TODAY()-J502)</f>
        <v/>
      </c>
      <c r="Q502" s="5">
        <f>IF(AND(M502&lt;&gt;"",M502&lt;TODAY(),ISNA(MATCH(H502,{"Won","Lost","Do not contact"},0))),"OVERDUE","")</f>
        <v/>
      </c>
    </row>
    <row r="503">
      <c r="A503" s="31" t="n"/>
      <c r="B503" s="32" t="n"/>
      <c r="C503" s="32" t="n"/>
      <c r="D503" s="32" t="n"/>
      <c r="E503" s="32" t="n"/>
      <c r="F503" s="32" t="n"/>
      <c r="G503" s="32" t="n"/>
      <c r="H503" s="32" t="n"/>
      <c r="I503" s="32" t="n"/>
      <c r="J503" s="31" t="n"/>
      <c r="K503" s="32" t="n"/>
      <c r="L503" s="32" t="n"/>
      <c r="M503" s="31" t="n"/>
      <c r="N503" s="32" t="n"/>
      <c r="O503" s="32" t="n"/>
      <c r="P503" s="33">
        <f>IF(J503="","",TODAY()-J503)</f>
        <v/>
      </c>
      <c r="Q503" s="5">
        <f>IF(AND(M503&lt;&gt;"",M503&lt;TODAY(),ISNA(MATCH(H503,{"Won","Lost","Do not contact"},0))),"OVERDUE","")</f>
        <v/>
      </c>
    </row>
    <row r="504">
      <c r="A504" s="31" t="n"/>
      <c r="B504" s="32" t="n"/>
      <c r="C504" s="32" t="n"/>
      <c r="D504" s="32" t="n"/>
      <c r="E504" s="32" t="n"/>
      <c r="F504" s="32" t="n"/>
      <c r="G504" s="32" t="n"/>
      <c r="H504" s="32" t="n"/>
      <c r="I504" s="32" t="n"/>
      <c r="J504" s="31" t="n"/>
      <c r="K504" s="32" t="n"/>
      <c r="L504" s="32" t="n"/>
      <c r="M504" s="31" t="n"/>
      <c r="N504" s="32" t="n"/>
      <c r="O504" s="32" t="n"/>
      <c r="P504" s="33">
        <f>IF(J504="","",TODAY()-J504)</f>
        <v/>
      </c>
      <c r="Q504" s="5">
        <f>IF(AND(M504&lt;&gt;"",M504&lt;TODAY(),ISNA(MATCH(H504,{"Won","Lost","Do not contact"},0))),"OVERDUE","")</f>
        <v/>
      </c>
    </row>
    <row r="505">
      <c r="A505" s="31" t="n"/>
      <c r="B505" s="32" t="n"/>
      <c r="C505" s="32" t="n"/>
      <c r="D505" s="32" t="n"/>
      <c r="E505" s="32" t="n"/>
      <c r="F505" s="32" t="n"/>
      <c r="G505" s="32" t="n"/>
      <c r="H505" s="32" t="n"/>
      <c r="I505" s="32" t="n"/>
      <c r="J505" s="31" t="n"/>
      <c r="K505" s="32" t="n"/>
      <c r="L505" s="32" t="n"/>
      <c r="M505" s="31" t="n"/>
      <c r="N505" s="32" t="n"/>
      <c r="O505" s="32" t="n"/>
      <c r="P505" s="33">
        <f>IF(J505="","",TODAY()-J505)</f>
        <v/>
      </c>
      <c r="Q505" s="5">
        <f>IF(AND(M505&lt;&gt;"",M505&lt;TODAY(),ISNA(MATCH(H505,{"Won","Lost","Do not contact"},0))),"OVERDUE","")</f>
        <v/>
      </c>
    </row>
  </sheetData>
  <autoFilter ref="A4:Q505"/>
  <conditionalFormatting sqref="Q5:Q505">
    <cfRule type="cellIs" priority="1" operator="equal" dxfId="2">
      <formula>"OVERDUE"</formula>
    </cfRule>
  </conditionalFormatting>
  <dataValidations count="3">
    <dataValidation sqref="H5:H505" showDropDown="0" showInputMessage="0" showErrorMessage="0" allowBlank="1" type="list">
      <formula1>=Lists!$A$2:$A$13</formula1>
    </dataValidation>
    <dataValidation sqref="I5:I505" showDropDown="0" showInputMessage="0" showErrorMessage="0" allowBlank="1" type="list">
      <formula1>=Lists!$B$2:$B$15</formula1>
    </dataValidation>
    <dataValidation sqref="F5:F505" showDropDown="0" showInputMessage="0" showErrorMessage="0" allowBlank="1" type="list">
      <formula1>=Lists!$C$2:$C$8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56" customWidth="1" min="3" max="3"/>
    <col width="12" customWidth="1" min="4" max="4"/>
    <col width="16" customWidth="1" min="5" max="5"/>
    <col width="22" customWidth="1" min="6" max="6"/>
  </cols>
  <sheetData>
    <row r="1">
      <c r="A1" s="1" t="inlineStr">
        <is>
          <t>Reply Playbook</t>
        </is>
      </c>
    </row>
    <row r="2">
      <c r="A2" s="2" t="inlineStr">
        <is>
          <t>When someone replies on any channel: find the type, do what it says, move the stage. Answer every reply within 2 business hours.</t>
        </is>
      </c>
    </row>
    <row r="3"/>
    <row r="4">
      <c r="A4" s="9" t="inlineStr">
        <is>
          <t>Reply type</t>
        </is>
      </c>
      <c r="B4" s="9" t="inlineStr">
        <is>
          <t>Sounds like</t>
        </is>
      </c>
      <c r="C4" s="9" t="inlineStr">
        <is>
          <t>What to do</t>
        </is>
      </c>
      <c r="D4" s="9" t="inlineStr">
        <is>
          <t>Template</t>
        </is>
      </c>
      <c r="E4" s="9" t="inlineStr">
        <is>
          <t>Move stage to</t>
        </is>
      </c>
      <c r="F4" s="9" t="inlineStr">
        <is>
          <t>Follow up if no answer</t>
        </is>
      </c>
    </row>
    <row r="5">
      <c r="A5" s="10" t="inlineStr">
        <is>
          <t>Interested</t>
        </is>
      </c>
      <c r="B5" s="10" t="inlineStr">
        <is>
          <t>"Tell me more", "how does it work?"</t>
        </is>
      </c>
      <c r="C5" s="10" t="inlineStr">
        <is>
          <t>Answer in 2 lines, ask one question about their business, offer the free demo.</t>
        </is>
      </c>
      <c r="D5" s="10" t="inlineStr">
        <is>
          <t>RP-01</t>
        </is>
      </c>
      <c r="E5" s="10" t="inlineStr">
        <is>
          <t>Conversation</t>
        </is>
      </c>
      <c r="F5" s="10" t="inlineStr">
        <is>
          <t>24 hours</t>
        </is>
      </c>
    </row>
    <row r="6">
      <c r="A6" s="10" t="inlineStr">
        <is>
          <t>Price question</t>
        </is>
      </c>
      <c r="B6" s="10" t="inlineStr">
        <is>
          <t>"How much?", "what does it cost?"</t>
        </is>
      </c>
      <c r="C6" s="10" t="inlineStr">
        <is>
          <t>Honest ballpark: most builds land around $1,000, one-time; the demo is free. Then offer the demo. Never quote exact prices, discounts or payment plans in DMs.</t>
        </is>
      </c>
      <c r="D6" s="10" t="inlineStr">
        <is>
          <t>RP-02</t>
        </is>
      </c>
      <c r="E6" s="10" t="inlineStr">
        <is>
          <t>Conversation</t>
        </is>
      </c>
      <c r="F6" s="10" t="inlineStr">
        <is>
          <t>48 hours</t>
        </is>
      </c>
    </row>
    <row r="7">
      <c r="A7" s="10" t="inlineStr">
        <is>
          <t>Send info</t>
        </is>
      </c>
      <c r="B7" s="10" t="inlineStr">
        <is>
          <t>"Send me examples", "do you have a website?"</t>
        </is>
      </c>
      <c r="C7" s="10" t="inlineStr">
        <is>
          <t>Two portfolio links plus the offer to build their own demo.</t>
        </is>
      </c>
      <c r="D7" s="10" t="inlineStr">
        <is>
          <t>RP-03</t>
        </is>
      </c>
      <c r="E7" s="10" t="inlineStr">
        <is>
          <t>Conversation</t>
        </is>
      </c>
      <c r="F7" s="10" t="inlineStr">
        <is>
          <t>48 hours</t>
        </is>
      </c>
    </row>
    <row r="8">
      <c r="A8" s="10" t="inlineStr">
        <is>
          <t>Wants demo</t>
        </is>
      </c>
      <c r="B8" s="10" t="inlineStr">
        <is>
          <t>"Sure, go ahead", "yes please"</t>
        </is>
      </c>
      <c r="C8" s="10" t="inlineStr">
        <is>
          <t>Get business name + any page (Google/Facebook/Instagram). Build within 48h with generate_demo.py. Send the demo with the Calendly link.</t>
        </is>
      </c>
      <c r="D8" s="10" t="inlineStr">
        <is>
          <t>RP-04</t>
        </is>
      </c>
      <c r="E8" s="10" t="inlineStr">
        <is>
          <t>Demo building → Demo sent</t>
        </is>
      </c>
      <c r="F8" s="10" t="inlineStr">
        <is>
          <t>Day 2 and day 5 after sending</t>
        </is>
      </c>
    </row>
    <row r="9">
      <c r="A9" s="10" t="inlineStr">
        <is>
          <t>Not now</t>
        </is>
      </c>
      <c r="B9" s="10" t="inlineStr">
        <is>
          <t>"Busy season", "maybe next month"</t>
        </is>
      </c>
      <c r="C9" s="10" t="inlineStr">
        <is>
          <t>Ask when to check back. Set the next action date to that day.</t>
        </is>
      </c>
      <c r="D9" s="10" t="inlineStr">
        <is>
          <t>RP-05</t>
        </is>
      </c>
      <c r="E9" s="10" t="inlineStr">
        <is>
          <t>Nurture</t>
        </is>
      </c>
      <c r="F9" s="10" t="inlineStr">
        <is>
          <t>On the date they gave</t>
        </is>
      </c>
    </row>
    <row r="10">
      <c r="A10" s="10" t="inlineStr">
        <is>
          <t>Has a website</t>
        </is>
      </c>
      <c r="B10" s="10" t="inlineStr">
        <is>
          <t>"Already have one", "my nephew did it"</t>
        </is>
      </c>
      <c r="C10" s="10" t="inlineStr">
        <is>
          <t>Respect it. Offer a free 3-point review of the current site. No pressure.</t>
        </is>
      </c>
      <c r="D10" s="10" t="inlineStr">
        <is>
          <t>RP-06</t>
        </is>
      </c>
      <c r="E10" s="10" t="inlineStr">
        <is>
          <t>Nurture</t>
        </is>
      </c>
      <c r="F10" s="10" t="inlineStr">
        <is>
          <t>30 days</t>
        </is>
      </c>
    </row>
    <row r="11">
      <c r="A11" s="10" t="inlineStr">
        <is>
          <t>Referral</t>
        </is>
      </c>
      <c r="B11" s="10" t="inlineStr">
        <is>
          <t>"Talk to my friend", "you should contact X"</t>
        </is>
      </c>
      <c r="C11" s="10" t="inlineStr">
        <is>
          <t>Thank them, ask for an intro or permission to mention them. Add the new lead with Channel = Referral.</t>
        </is>
      </c>
      <c r="D11" s="10" t="inlineStr">
        <is>
          <t>RP-07</t>
        </is>
      </c>
      <c r="E11" s="10" t="inlineStr">
        <is>
          <t>(new lead) Contacted</t>
        </is>
      </c>
      <c r="F11" s="10" t="inlineStr">
        <is>
          <t>48 hours</t>
        </is>
      </c>
    </row>
    <row r="12">
      <c r="A12" s="10" t="inlineStr">
        <is>
          <t>Partner</t>
        </is>
      </c>
      <c r="B12" s="10" t="inlineStr">
        <is>
          <t>A bookkeeper/coach/marketer who works with owners</t>
        </is>
      </c>
      <c r="C12" s="10" t="inlineStr">
        <is>
          <t>Book a 20-min partner call. Agree how you'll pass clients both ways.</t>
        </is>
      </c>
      <c r="D12" s="10" t="inlineStr">
        <is>
          <t>RP-08</t>
        </is>
      </c>
      <c r="E12" s="10" t="inlineStr">
        <is>
          <t>Conversation</t>
        </is>
      </c>
      <c r="F12" s="10" t="inlineStr">
        <is>
          <t>48 hours</t>
        </is>
      </c>
    </row>
    <row r="13">
      <c r="A13" s="10" t="inlineStr">
        <is>
          <t>Not interested</t>
        </is>
      </c>
      <c r="B13" s="10" t="inlineStr">
        <is>
          <t>"No thanks", "not for us"</t>
        </is>
      </c>
      <c r="C13" s="10" t="inlineStr">
        <is>
          <t>One polite line. No further outreach.</t>
        </is>
      </c>
      <c r="D13" s="10" t="inlineStr">
        <is>
          <t>RP-09</t>
        </is>
      </c>
      <c r="E13" s="10" t="inlineStr">
        <is>
          <t>Lost</t>
        </is>
      </c>
      <c r="F13" s="10" t="inlineStr">
        <is>
          <t>None</t>
        </is>
      </c>
    </row>
    <row r="14">
      <c r="A14" s="10" t="inlineStr">
        <is>
          <t>Opt-out</t>
        </is>
      </c>
      <c r="B14" s="10" t="inlineStr">
        <is>
          <t>"Stop", "remove me", "unsubscribe", anger</t>
        </is>
      </c>
      <c r="C14" s="10" t="inlineStr">
        <is>
          <t>No sales reply. Add to Do-Not-Contact everywhere today (email suppression list too).</t>
        </is>
      </c>
      <c r="D14" s="10" t="inlineStr">
        <is>
          <t>—</t>
        </is>
      </c>
      <c r="E14" s="10" t="inlineStr">
        <is>
          <t>Do not contact</t>
        </is>
      </c>
      <c r="F14" s="10" t="inlineStr">
        <is>
          <t>Never</t>
        </is>
      </c>
    </row>
    <row r="15">
      <c r="A15" s="10" t="inlineStr">
        <is>
          <t>Auto-reply</t>
        </is>
      </c>
      <c r="B15" s="10" t="inlineStr">
        <is>
          <t>Out of office, vacation</t>
        </is>
      </c>
      <c r="C15" s="10" t="inlineStr">
        <is>
          <t>Set next action date to their return date + 1 day.</t>
        </is>
      </c>
      <c r="D15" s="10" t="inlineStr">
        <is>
          <t>—</t>
        </is>
      </c>
      <c r="E15" s="10" t="inlineStr">
        <is>
          <t>(unchanged)</t>
        </is>
      </c>
      <c r="F15" s="10" t="inlineStr">
        <is>
          <t>Return date + 1</t>
        </is>
      </c>
    </row>
    <row r="16">
      <c r="A16" s="10" t="inlineStr">
        <is>
          <t>Wrong person</t>
        </is>
      </c>
      <c r="B16" s="10" t="inlineStr">
        <is>
          <t>"I don't handle that"</t>
        </is>
      </c>
      <c r="C16" s="10" t="inlineStr">
        <is>
          <t>Ask who does; update the lead.</t>
        </is>
      </c>
      <c r="D16" s="10" t="inlineStr">
        <is>
          <t>RP-10</t>
        </is>
      </c>
      <c r="E16" s="10" t="inlineStr">
        <is>
          <t>Contacted</t>
        </is>
      </c>
      <c r="F16" s="10" t="inlineStr">
        <is>
          <t>48 hours</t>
        </is>
      </c>
    </row>
    <row r="17">
      <c r="A17" s="10" t="inlineStr">
        <is>
          <t>Who are you</t>
        </is>
      </c>
      <c r="B17" s="10" t="inlineStr">
        <is>
          <t>"Is this a scam?", "how did you find me?"</t>
        </is>
      </c>
      <c r="C17" s="10" t="inlineStr">
        <is>
          <t>Real name, Vanguard, what you do, where you found them (public listing / their post), two portfolio links.</t>
        </is>
      </c>
      <c r="D17" s="10" t="inlineStr">
        <is>
          <t>RP-11</t>
        </is>
      </c>
      <c r="E17" s="10" t="inlineStr">
        <is>
          <t>Conversation</t>
        </is>
      </c>
      <c r="F17" s="10" t="inlineStr">
        <is>
          <t>48 hours</t>
        </is>
      </c>
    </row>
    <row r="18">
      <c r="A18" s="10" t="inlineStr">
        <is>
          <t>Booked</t>
        </is>
      </c>
      <c r="B18" s="10" t="inlineStr">
        <is>
          <t>They picked a time</t>
        </is>
      </c>
      <c r="C18" s="10" t="inlineStr">
        <is>
          <t>Confirm, send the demo link before the call, add to GHL with source tag, Slack posts automatically.</t>
        </is>
      </c>
      <c r="D18" s="10" t="inlineStr">
        <is>
          <t>RP-12</t>
        </is>
      </c>
      <c r="E18" s="10" t="inlineStr">
        <is>
          <t>Call booked</t>
        </is>
      </c>
      <c r="F18" s="10" t="inlineStr">
        <is>
          <t>Reminders run in GHL/Calendly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24" customWidth="1" min="3" max="3"/>
    <col width="110" customWidth="1" min="4" max="4"/>
  </cols>
  <sheetData>
    <row r="1">
      <c r="A1" s="1" t="inlineStr">
        <is>
          <t>Templates</t>
        </is>
      </c>
    </row>
    <row r="2">
      <c r="A2" s="2" t="inlineStr">
        <is>
          <t>Starting points. Always personalise with one real detail. Replace [brackets]. Never claim a demo exists until it does.</t>
        </is>
      </c>
    </row>
    <row r="3"/>
    <row r="4">
      <c r="A4" s="9" t="inlineStr">
        <is>
          <t>ID</t>
        </is>
      </c>
      <c r="B4" s="9" t="inlineStr">
        <is>
          <t>Channel</t>
        </is>
      </c>
      <c r="C4" s="9" t="inlineStr">
        <is>
          <t>When</t>
        </is>
      </c>
      <c r="D4" s="9" t="inlineStr">
        <is>
          <t>Message</t>
        </is>
      </c>
    </row>
    <row r="5" ht="45" customHeight="1">
      <c r="A5" s="10" t="inlineStr">
        <is>
          <t>LI-01</t>
        </is>
      </c>
      <c r="B5" s="10" t="inlineStr">
        <is>
          <t>LinkedIn</t>
        </is>
      </c>
      <c r="C5" s="10" t="inlineStr">
        <is>
          <t>Connection request</t>
        </is>
      </c>
      <c r="D5" s="10" t="inlineStr">
        <is>
          <t>Send without a note (free accounts get only a few personalised notes a month). If you have notes: "Hi [First name], I build websites for local [niche] businesses around [city]. Would be good to connect."</t>
        </is>
      </c>
    </row>
    <row r="6" ht="60" customHeight="1">
      <c r="A6" s="10" t="inlineStr">
        <is>
          <t>LI-02</t>
        </is>
      </c>
      <c r="B6" s="10" t="inlineStr">
        <is>
          <t>LinkedIn</t>
        </is>
      </c>
      <c r="C6" s="10" t="inlineStr">
        <is>
          <t>Day 0 after they accept</t>
        </is>
      </c>
      <c r="D6" s="10" t="inlineStr">
        <is>
          <t>Thanks for connecting, [First name]. Quick one: I noticed [Business] [doesn't have a website yet / isn't easy to book from on a phone]. I build sites for local businesses and usually make a free demo first so owners can see it before deciding anything. Want me to put one together for you?</t>
        </is>
      </c>
    </row>
    <row r="7" ht="30" customHeight="1">
      <c r="A7" s="10" t="inlineStr">
        <is>
          <t>LI-03</t>
        </is>
      </c>
      <c r="B7" s="10" t="inlineStr">
        <is>
          <t>LinkedIn</t>
        </is>
      </c>
      <c r="C7" s="10" t="inlineStr">
        <is>
          <t>Day 3, no reply</t>
        </is>
      </c>
      <c r="D7" s="10" t="inlineStr">
        <is>
          <t>Hi [First name], no worries if now's not the time. Happy to make the free demo whenever suits. Should I go ahead?</t>
        </is>
      </c>
    </row>
    <row r="8" ht="30" customHeight="1">
      <c r="A8" s="10" t="inlineStr">
        <is>
          <t>LI-04</t>
        </is>
      </c>
      <c r="B8" s="10" t="inlineStr">
        <is>
          <t>LinkedIn</t>
        </is>
      </c>
      <c r="C8" s="10" t="inlineStr">
        <is>
          <t>Day 7, last touch</t>
        </is>
      </c>
      <c r="D8" s="10" t="inlineStr">
        <is>
          <t>Last note from me, [First name]. If a website's ever on the list for [Business], I'm here. All the best either way.</t>
        </is>
      </c>
    </row>
    <row r="9" ht="30" customHeight="1">
      <c r="A9" s="10" t="inlineStr">
        <is>
          <t>LI-05</t>
        </is>
      </c>
      <c r="B9" s="10" t="inlineStr">
        <is>
          <t>LinkedIn</t>
        </is>
      </c>
      <c r="C9" s="10" t="inlineStr">
        <is>
          <t>Comment on a 'need a website' post</t>
        </is>
      </c>
      <c r="D9" s="10" t="inlineStr">
        <is>
          <t>Happy to help here. I build sites for local businesses, live within 14 days of kick-off. I can mock up a free demo so you can see it before deciding. Sending you a message.</t>
        </is>
      </c>
    </row>
    <row r="10" ht="45" customHeight="1">
      <c r="A10" s="10" t="inlineStr">
        <is>
          <t>LI-06</t>
        </is>
      </c>
      <c r="B10" s="10" t="inlineStr">
        <is>
          <t>LinkedIn</t>
        </is>
      </c>
      <c r="C10" s="10" t="inlineStr">
        <is>
          <t>Referral partner opener</t>
        </is>
      </c>
      <c r="D10" s="10" t="inlineStr">
        <is>
          <t>Hi [First name], I see you work with [small business owners / salons / contractors] in [city]. A lot of them don't have a proper website, which is what I build. Open to passing clients both ways where it fits? Happy to grab 15 minutes.</t>
        </is>
      </c>
    </row>
    <row r="11" ht="30" customHeight="1">
      <c r="A11" s="10" t="inlineStr">
        <is>
          <t>FB-01</t>
        </is>
      </c>
      <c r="B11" s="10" t="inlineStr">
        <is>
          <t>Facebook</t>
        </is>
      </c>
      <c r="C11" s="10" t="inlineStr">
        <is>
          <t>Comment on a recommendation request</t>
        </is>
      </c>
      <c r="D11" s="10" t="inlineStr">
        <is>
          <t>Hi [Name]! I build websites for local businesses (Vanguard). Happy to make you a free demo so you can see it before deciding anything. I'll send you a message.</t>
        </is>
      </c>
    </row>
    <row r="12" ht="60" customHeight="1">
      <c r="A12" s="10" t="inlineStr">
        <is>
          <t>FB-02</t>
        </is>
      </c>
      <c r="B12" s="10" t="inlineStr">
        <is>
          <t>Facebook</t>
        </is>
      </c>
      <c r="C12" s="10" t="inlineStr">
        <is>
          <t>DM after their request</t>
        </is>
      </c>
      <c r="D12" s="10" t="inlineStr">
        <is>
          <t>Hi [Name], saw your post in [Group] about a website for [Business]. I'm [Your name] from Vanguard; we build sites for local [niche] businesses, live within 14 days of kick-off. If you send me your business name or page, I'll put together a free demo so you can see it first. Want me to?</t>
        </is>
      </c>
    </row>
    <row r="13" ht="30" customHeight="1">
      <c r="A13" s="10" t="inlineStr">
        <is>
          <t>FB-03</t>
        </is>
      </c>
      <c r="B13" s="10" t="inlineStr">
        <is>
          <t>Facebook</t>
        </is>
      </c>
      <c r="C13" s="10" t="inlineStr">
        <is>
          <t>DM to someone who engaged with you</t>
        </is>
      </c>
      <c r="D13" s="10" t="inlineStr">
        <is>
          <t>Thanks for [commenting on / liking] my post, [Name]! Is a website something you've been thinking about for [Business]? Happy to mock up a free demo if it's useful.</t>
        </is>
      </c>
    </row>
    <row r="14" ht="45" customHeight="1">
      <c r="A14" s="10" t="inlineStr">
        <is>
          <t>FB-04</t>
        </is>
      </c>
      <c r="B14" s="10" t="inlineStr">
        <is>
          <t>Facebook</t>
        </is>
      </c>
      <c r="C14" s="10" t="inlineStr">
        <is>
          <t>Group post (only where offers are allowed)</t>
        </is>
      </c>
      <c r="D14" s="10" t="inlineStr">
        <is>
          <t>For [City] business owners: this week I'm building [3] free demo websites, using your real services and photos. No strings: if you like it we can talk about making it live, if not you've lost nothing. Comment 'demo' or message me. [Only post a number you'll stick to.]</t>
        </is>
      </c>
    </row>
    <row r="15" ht="150" customHeight="1">
      <c r="A15" s="10" t="inlineStr">
        <is>
          <t>EM-01</t>
        </is>
      </c>
      <c r="B15" s="10" t="inlineStr">
        <is>
          <t>Email</t>
        </is>
      </c>
      <c r="C15" s="10" t="inlineStr">
        <is>
          <t>Step 1 (demo already built)</t>
        </is>
      </c>
      <c r="D15" s="10" t="inlineStr">
        <is>
          <t>Subject: [Business] website idea
Hi [First name], I was looking at [Business] on Google ([rating] stars from [count] reviews, nice work). I noticed [the site is hard to use on a phone / there's no online booking]. We built a free demo of what an updated site could look like: [demo link]. If you'd like a 15-minute walkthrough, grab a time here: [Calendly link].
[Your name] · Vanguard · [physical mailing address]
Reply "no thanks" and I won't email again.</t>
        </is>
      </c>
    </row>
    <row r="16" ht="60" customHeight="1">
      <c r="A16" s="10" t="inlineStr">
        <is>
          <t>EM-02</t>
        </is>
      </c>
      <c r="B16" s="10" t="inlineStr">
        <is>
          <t>Email</t>
        </is>
      </c>
      <c r="C16" s="10" t="inlineStr">
        <is>
          <t>Step 2, day 3</t>
        </is>
      </c>
      <c r="D16" s="10" t="inlineStr">
        <is>
          <t>Subject: Re: [Business] website idea
Hi [First name], quick nudge on the demo for [Business]: [demo link]. Anything you'd change? Happy to tweak it live on a short call: [Calendly link].</t>
        </is>
      </c>
    </row>
    <row r="17" ht="75" customHeight="1">
      <c r="A17" s="10" t="inlineStr">
        <is>
          <t>EM-03</t>
        </is>
      </c>
      <c r="B17" s="10" t="inlineStr">
        <is>
          <t>Email</t>
        </is>
      </c>
      <c r="C17" s="10" t="inlineStr">
        <is>
          <t>Step 3, day 7</t>
        </is>
      </c>
      <c r="D17" s="10" t="inlineStr">
        <is>
          <t>Subject: Re: [Business] website idea
Hi [First name], the question owners ask most is cost. Most of our builds land around $1,000, one-time, live within 14 days of kick-off, and the demo is free either way. Worth 15 minutes? [Calendly link]</t>
        </is>
      </c>
    </row>
    <row r="18" ht="60" customHeight="1">
      <c r="A18" s="10" t="inlineStr">
        <is>
          <t>EM-04</t>
        </is>
      </c>
      <c r="B18" s="10" t="inlineStr">
        <is>
          <t>Email</t>
        </is>
      </c>
      <c r="C18" s="10" t="inlineStr">
        <is>
          <t>Step 4, day 12 (last)</t>
        </is>
      </c>
      <c r="D18" s="10" t="inlineStr">
        <is>
          <t>Subject: Closing the loop
Hi [First name], I'll leave it here. The demo stays up for a couple of weeks if you want another look: [demo link]. All the best with [Business].</t>
        </is>
      </c>
    </row>
    <row r="19" ht="75" customHeight="1">
      <c r="A19" s="10" t="inlineStr">
        <is>
          <t>RD-01</t>
        </is>
      </c>
      <c r="B19" s="10" t="inlineStr">
        <is>
          <t>Reddit</t>
        </is>
      </c>
      <c r="C19" s="10" t="inlineStr">
        <is>
          <t>Reply to a buying-intent post</t>
        </is>
      </c>
      <c r="D19" s="10" t="inlineStr">
        <is>
          <t>[2–3 genuinely useful tips for their exact situation.]
If you'd rather have it done for you: I run a small web studio (Vanguard) that builds sites for local businesses, and I'm happy to mock up a free demo so you can judge it first. [Only if the subreddit allows it.]</t>
        </is>
      </c>
    </row>
    <row r="20" ht="45" customHeight="1">
      <c r="A20" s="10" t="inlineStr">
        <is>
          <t>RP-01</t>
        </is>
      </c>
      <c r="B20" s="10" t="inlineStr">
        <is>
          <t>Any</t>
        </is>
      </c>
      <c r="C20" s="10" t="inlineStr">
        <is>
          <t>Interested</t>
        </is>
      </c>
      <c r="D20" s="10" t="inlineStr">
        <is>
          <t>Great to hear. Quick question so I build the right thing: what do most of your customers come to you for? I'll put together a free demo for [Business] so you can see it before deciding anything.</t>
        </is>
      </c>
    </row>
    <row r="21" ht="30" customHeight="1">
      <c r="A21" s="10" t="inlineStr">
        <is>
          <t>RP-02</t>
        </is>
      </c>
      <c r="B21" s="10" t="inlineStr">
        <is>
          <t>Any</t>
        </is>
      </c>
      <c r="C21" s="10" t="inlineStr">
        <is>
          <t>Price question</t>
        </is>
      </c>
      <c r="D21" s="10" t="inlineStr">
        <is>
          <t>Fair question. It depends on what you need, but most of our builds land around $1,000, one-time, and the demo is free. Want me to put one together so you can see what you'd get?</t>
        </is>
      </c>
    </row>
    <row r="22" ht="30" customHeight="1">
      <c r="A22" s="10" t="inlineStr">
        <is>
          <t>RP-03</t>
        </is>
      </c>
      <c r="B22" s="10" t="inlineStr">
        <is>
          <t>Any</t>
        </is>
      </c>
      <c r="C22" s="10" t="inlineStr">
        <is>
          <t>Send info</t>
        </is>
      </c>
      <c r="D22" s="10" t="inlineStr">
        <is>
          <t>Sure. Two recent ones: [link 1], [link 2]. Even better, I can build a free demo for [Business] so you see your own. Want me to?</t>
        </is>
      </c>
    </row>
    <row r="23" ht="45" customHeight="1">
      <c r="A23" s="10" t="inlineStr">
        <is>
          <t>RP-04</t>
        </is>
      </c>
      <c r="B23" s="10" t="inlineStr">
        <is>
          <t>Any</t>
        </is>
      </c>
      <c r="C23" s="10" t="inlineStr">
        <is>
          <t>Wants demo</t>
        </is>
      </c>
      <c r="D23" s="10" t="inlineStr">
        <is>
          <t>Perfect. Send me your business name and any page you have (Google, Facebook or Instagram) and I'll have it ready within 48 hours. Then we can walk through it on a quick call: [Calendly link].</t>
        </is>
      </c>
    </row>
    <row r="24" ht="30" customHeight="1">
      <c r="A24" s="10" t="inlineStr">
        <is>
          <t>RP-05</t>
        </is>
      </c>
      <c r="B24" s="10" t="inlineStr">
        <is>
          <t>Any</t>
        </is>
      </c>
      <c r="C24" s="10" t="inlineStr">
        <is>
          <t>Not now</t>
        </is>
      </c>
      <c r="D24" s="10" t="inlineStr">
        <is>
          <t>No problem at all. When would be a better time to check back?</t>
        </is>
      </c>
    </row>
    <row r="25" ht="30" customHeight="1">
      <c r="A25" s="10" t="inlineStr">
        <is>
          <t>RP-06</t>
        </is>
      </c>
      <c r="B25" s="10" t="inlineStr">
        <is>
          <t>Any</t>
        </is>
      </c>
      <c r="C25" s="10" t="inlineStr">
        <is>
          <t>Has a website</t>
        </is>
      </c>
      <c r="D25" s="10" t="inlineStr">
        <is>
          <t>Makes sense. If it's ever useful, I'm happy to do a free 3-point review of the current site, no strings.</t>
        </is>
      </c>
    </row>
    <row r="26" ht="30" customHeight="1">
      <c r="A26" s="10" t="inlineStr">
        <is>
          <t>RP-07</t>
        </is>
      </c>
      <c r="B26" s="10" t="inlineStr">
        <is>
          <t>Any</t>
        </is>
      </c>
      <c r="C26" s="10" t="inlineStr">
        <is>
          <t>Referral</t>
        </is>
      </c>
      <c r="D26" s="10" t="inlineStr">
        <is>
          <t>Really appreciate that. Could you introduce us, or is it OK if I mention you when I reach out?</t>
        </is>
      </c>
    </row>
    <row r="27" ht="30" customHeight="1">
      <c r="A27" s="10" t="inlineStr">
        <is>
          <t>RP-08</t>
        </is>
      </c>
      <c r="B27" s="10" t="inlineStr">
        <is>
          <t>Any</t>
        </is>
      </c>
      <c r="C27" s="10" t="inlineStr">
        <is>
          <t>Partner</t>
        </is>
      </c>
      <c r="D27" s="10" t="inlineStr">
        <is>
          <t>Sounds like we serve the same owners. Want to grab 20 minutes this week to see how we can pass clients both ways? [Calendly link]</t>
        </is>
      </c>
    </row>
    <row r="28" ht="30" customHeight="1">
      <c r="A28" s="10" t="inlineStr">
        <is>
          <t>RP-09</t>
        </is>
      </c>
      <c r="B28" s="10" t="inlineStr">
        <is>
          <t>Any</t>
        </is>
      </c>
      <c r="C28" s="10" t="inlineStr">
        <is>
          <t>Not interested</t>
        </is>
      </c>
      <c r="D28" s="10" t="inlineStr">
        <is>
          <t>Understood, thanks for letting me know. All the best with [Business].</t>
        </is>
      </c>
    </row>
    <row r="29" ht="30" customHeight="1">
      <c r="A29" s="10" t="inlineStr">
        <is>
          <t>RP-10</t>
        </is>
      </c>
      <c r="B29" s="10" t="inlineStr">
        <is>
          <t>Any</t>
        </is>
      </c>
      <c r="C29" s="10" t="inlineStr">
        <is>
          <t>Wrong person</t>
        </is>
      </c>
      <c r="D29" s="10" t="inlineStr">
        <is>
          <t>Thanks! Who would be the best person to talk to about the website?</t>
        </is>
      </c>
    </row>
    <row r="30" ht="45" customHeight="1">
      <c r="A30" s="10" t="inlineStr">
        <is>
          <t>RP-11</t>
        </is>
      </c>
      <c r="B30" s="10" t="inlineStr">
        <is>
          <t>Any</t>
        </is>
      </c>
      <c r="C30" s="10" t="inlineStr">
        <is>
          <t>Who are you</t>
        </is>
      </c>
      <c r="D30" s="10" t="inlineStr">
        <is>
          <t>Fair to ask! I'm [Your name] from Vanguard; we build websites for local businesses. I found [Business] through [your public Google listing / your post in Group]. Recent work: [links]. Happy to answer anything.</t>
        </is>
      </c>
    </row>
    <row r="31" ht="30" customHeight="1">
      <c r="A31" s="10" t="inlineStr">
        <is>
          <t>RP-12</t>
        </is>
      </c>
      <c r="B31" s="10" t="inlineStr">
        <is>
          <t>Any</t>
        </is>
      </c>
      <c r="C31" s="10" t="inlineStr">
        <is>
          <t>Booked</t>
        </is>
      </c>
      <c r="D31" s="10" t="inlineStr">
        <is>
          <t>You're booked, you'll get a confirmation from Calendly. I'll send the demo link before the call. Looking forward to 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30" customWidth="1" min="3" max="3"/>
    <col width="30" customWidth="1" min="4" max="4"/>
    <col width="30" customWidth="1" min="5" max="5"/>
    <col width="30" customWidth="1" min="6" max="6"/>
  </cols>
  <sheetData>
    <row r="1">
      <c r="A1" s="1" t="inlineStr">
        <is>
          <t>Sequences</t>
        </is>
      </c>
    </row>
    <row r="2">
      <c r="A2" s="2" t="inlineStr">
        <is>
          <t>The cadence for each channel. Stop the sequence the moment they reply; switch to the Reply Playbook.</t>
        </is>
      </c>
    </row>
    <row r="3"/>
    <row r="4">
      <c r="A4" s="9" t="inlineStr">
        <is>
          <t>Channel</t>
        </is>
      </c>
      <c r="B4" s="9" t="inlineStr">
        <is>
          <t>Day 0</t>
        </is>
      </c>
      <c r="C4" s="9" t="inlineStr">
        <is>
          <t>Day 2–3</t>
        </is>
      </c>
      <c r="D4" s="9" t="inlineStr">
        <is>
          <t>Day 5–7</t>
        </is>
      </c>
      <c r="E4" s="9" t="inlineStr">
        <is>
          <t>Day 10–14</t>
        </is>
      </c>
      <c r="F4" s="9" t="inlineStr">
        <is>
          <t>Then</t>
        </is>
      </c>
    </row>
    <row r="5">
      <c r="A5" s="10" t="inlineStr">
        <is>
          <t>LinkedIn</t>
        </is>
      </c>
      <c r="B5" s="10" t="inlineStr">
        <is>
          <t>Connection request (LI-01) + like/comment on a recent post</t>
        </is>
      </c>
      <c r="C5" s="10" t="inlineStr">
        <is>
          <t>If accepted: LI-02</t>
        </is>
      </c>
      <c r="D5" s="10" t="inlineStr">
        <is>
          <t>LI-03</t>
        </is>
      </c>
      <c r="E5" s="10" t="inlineStr">
        <is>
          <t>LI-04 (last)</t>
        </is>
      </c>
      <c r="F5" s="10" t="inlineStr">
        <is>
          <t>Nurture: comment on their posts monthly</t>
        </is>
      </c>
    </row>
    <row r="6">
      <c r="A6" s="10" t="inlineStr">
        <is>
          <t>Facebook</t>
        </is>
      </c>
      <c r="B6" s="10" t="inlineStr">
        <is>
          <t>Comment (FB-01) on their request, or a value comment</t>
        </is>
      </c>
      <c r="C6" s="10" t="inlineStr">
        <is>
          <t>DM (FB-02/FB-03) if they asked or engaged</t>
        </is>
      </c>
      <c r="D6" s="10" t="inlineStr">
        <is>
          <t>One follow-up DM if they read it</t>
        </is>
      </c>
      <c r="E6" s="10" t="inlineStr">
        <is>
          <t>Stop</t>
        </is>
      </c>
      <c r="F6" s="10" t="inlineStr">
        <is>
          <t>Stay visible in the group</t>
        </is>
      </c>
    </row>
    <row r="7">
      <c r="A7" s="10" t="inlineStr">
        <is>
          <t>Email</t>
        </is>
      </c>
      <c r="B7" s="10" t="inlineStr">
        <is>
          <t>EM-01 (demo already built)</t>
        </is>
      </c>
      <c r="C7" s="10" t="inlineStr">
        <is>
          <t>EM-02 (day 3)</t>
        </is>
      </c>
      <c r="D7" s="10" t="inlineStr">
        <is>
          <t>EM-03 (day 7)</t>
        </is>
      </c>
      <c r="E7" s="10" t="inlineStr">
        <is>
          <t>EM-04 (day 12)</t>
        </is>
      </c>
      <c r="F7" s="10" t="inlineStr">
        <is>
          <t>Remove from sequence; nurture after 90 days only if no opt-out</t>
        </is>
      </c>
    </row>
    <row r="8">
      <c r="A8" s="10" t="inlineStr">
        <is>
          <t>Reddit</t>
        </is>
      </c>
      <c r="B8" s="10" t="inlineStr">
        <is>
          <t>Public reply (RD-01)</t>
        </is>
      </c>
      <c r="C8" s="10" t="inlineStr">
        <is>
          <t>Answer follow-up questions in thread</t>
        </is>
      </c>
      <c r="D8" s="10" t="inlineStr">
        <is>
          <t>DM only if they ask you to</t>
        </is>
      </c>
      <c r="E8" s="10" t="inlineStr">
        <is>
          <t>Stop</t>
        </is>
      </c>
      <c r="F8" s="10" t="inlineStr">
        <is>
          <t>—</t>
        </is>
      </c>
    </row>
    <row r="9">
      <c r="A9" s="10" t="inlineStr">
        <is>
          <t>Partner</t>
        </is>
      </c>
      <c r="B9" s="10" t="inlineStr">
        <is>
          <t>LI-06 or intro at an event</t>
        </is>
      </c>
      <c r="C9" s="10" t="inlineStr">
        <is>
          <t>Partner call</t>
        </is>
      </c>
      <c r="D9" s="10" t="inlineStr">
        <is>
          <t>Send 1-page referral info</t>
        </is>
      </c>
      <c r="E9" s="10" t="inlineStr">
        <is>
          <t>Check in monthly</t>
        </is>
      </c>
      <c r="F9" s="10" t="inlineStr">
        <is>
          <t>Pass them a referral when you can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80" customWidth="1" min="3" max="3"/>
    <col width="9" customWidth="1" min="4" max="4"/>
    <col width="22" customWidth="1" min="5" max="5"/>
  </cols>
  <sheetData>
    <row r="1">
      <c r="A1" s="1" t="inlineStr">
        <is>
          <t>Daily Routine</t>
        </is>
      </c>
    </row>
    <row r="2">
      <c r="A2" s="2" t="inlineStr">
        <is>
          <t>About 2.5 hours of outreach a day, around your closing calls and builds. Times are your local time; change them to suit.</t>
        </is>
      </c>
    </row>
    <row r="3"/>
    <row r="4">
      <c r="A4" s="9" t="inlineStr">
        <is>
          <t>Time</t>
        </is>
      </c>
      <c r="B4" s="9" t="inlineStr">
        <is>
          <t>Block</t>
        </is>
      </c>
      <c r="C4" s="9" t="inlineStr">
        <is>
          <t>What you do</t>
        </is>
      </c>
      <c r="D4" s="9" t="inlineStr">
        <is>
          <t>Minutes</t>
        </is>
      </c>
      <c r="E4" s="9" t="inlineStr">
        <is>
          <t>Feeds KPI</t>
        </is>
      </c>
    </row>
    <row r="5">
      <c r="A5" s="10" t="inlineStr">
        <is>
          <t>8:00</t>
        </is>
      </c>
      <c r="B5" s="10" t="inlineStr">
        <is>
          <t>Read the digests</t>
        </is>
      </c>
      <c r="C5" s="10" t="inlineStr">
        <is>
          <t>Read the A1 (Reddit) and A2/A5 (LinkedIn, email) outputs. Approve and send the drafted replies; post Reddit replies yourself.</t>
        </is>
      </c>
      <c r="D5" s="10" t="n">
        <v>20</v>
      </c>
      <c r="E5" s="10" t="inlineStr">
        <is>
          <t>New convos, Reddit replies</t>
        </is>
      </c>
    </row>
    <row r="6">
      <c r="A6" s="10" t="inlineStr">
        <is>
          <t>8:20</t>
        </is>
      </c>
      <c r="B6" s="10" t="inlineStr">
        <is>
          <t>Warm conversations first</t>
        </is>
      </c>
      <c r="C6" s="10" t="inlineStr">
        <is>
          <t>Answer every reply on every channel using the Reply Playbook. Update Lead Tracker stages.</t>
        </is>
      </c>
      <c r="D6" s="10" t="n">
        <v>20</v>
      </c>
      <c r="E6" s="10" t="inlineStr">
        <is>
          <t>New convos, Calls booked</t>
        </is>
      </c>
    </row>
    <row r="7">
      <c r="A7" s="10" t="inlineStr">
        <is>
          <t>8:40</t>
        </is>
      </c>
      <c r="B7" s="10" t="inlineStr">
        <is>
          <t>LinkedIn</t>
        </is>
      </c>
      <c r="C7" s="10" t="inlineStr">
        <is>
          <t>Send 15 connection requests and 10 first messages from the A3 list; leave 5 useful comments.</t>
        </is>
      </c>
      <c r="D7" s="10" t="n">
        <v>40</v>
      </c>
      <c r="E7" s="10" t="inlineStr">
        <is>
          <t>LI connects, msgs, comments</t>
        </is>
      </c>
    </row>
    <row r="8">
      <c r="A8" s="10" t="inlineStr">
        <is>
          <t>9:20</t>
        </is>
      </c>
      <c r="B8" s="10" t="inlineStr">
        <is>
          <t>Facebook</t>
        </is>
      </c>
      <c r="C8" s="10" t="inlineStr">
        <is>
          <t>Work the A4 output: reply to every website request, 10 value comments, warm DMs.</t>
        </is>
      </c>
      <c r="D8" s="10" t="n">
        <v>40</v>
      </c>
      <c r="E8" s="10" t="inlineStr">
        <is>
          <t>FB comments, replies, DMs</t>
        </is>
      </c>
    </row>
    <row r="9">
      <c r="A9" s="10" t="inlineStr">
        <is>
          <t>10:00</t>
        </is>
      </c>
      <c r="B9" s="10" t="inlineStr">
        <is>
          <t>Partners</t>
        </is>
      </c>
      <c r="C9" s="10" t="inlineStr">
        <is>
          <t>2 referral-partner conversations (LinkedIn, email or a call).</t>
        </is>
      </c>
      <c r="D9" s="10" t="n">
        <v>15</v>
      </c>
      <c r="E9" s="10" t="inlineStr">
        <is>
          <t>Partner convos</t>
        </is>
      </c>
    </row>
    <row r="10">
      <c r="A10" s="10" t="inlineStr">
        <is>
          <t>10:15</t>
        </is>
      </c>
      <c r="B10" s="10" t="inlineStr">
        <is>
          <t>Build demos</t>
        </is>
      </c>
      <c r="C10" s="10" t="inlineStr">
        <is>
          <t>Build demos for everyone who said yes (aim for 2). Send each with the Calendly link.</t>
        </is>
      </c>
      <c r="D10" s="10" t="n">
        <v>60</v>
      </c>
      <c r="E10" s="10" t="inlineStr">
        <is>
          <t>Demos built</t>
        </is>
      </c>
    </row>
    <row r="11">
      <c r="A11" s="10" t="inlineStr">
        <is>
          <t>Afternoon</t>
        </is>
      </c>
      <c r="B11" s="10" t="inlineStr">
        <is>
          <t>Closing calls and delivery</t>
        </is>
      </c>
      <c r="C11" s="10" t="inlineStr">
        <is>
          <t>Your closer calls and client builds.</t>
        </is>
      </c>
      <c r="D11" s="10" t="inlineStr">
        <is>
          <t>—</t>
        </is>
      </c>
      <c r="E11" s="10" t="inlineStr">
        <is>
          <t>—</t>
        </is>
      </c>
    </row>
    <row r="12">
      <c r="A12" s="10" t="inlineStr">
        <is>
          <t>16:30</t>
        </is>
      </c>
      <c r="B12" s="10" t="inlineStr">
        <is>
          <t>Second sweep</t>
        </is>
      </c>
      <c r="C12" s="10" t="inlineStr">
        <is>
          <t>Read the afternoon A2/A5 outputs, answer new replies.</t>
        </is>
      </c>
      <c r="D12" s="10" t="n">
        <v>15</v>
      </c>
      <c r="E12" s="10" t="inlineStr">
        <is>
          <t>New convos</t>
        </is>
      </c>
    </row>
    <row r="13">
      <c r="A13" s="10" t="inlineStr">
        <is>
          <t>16:45</t>
        </is>
      </c>
      <c r="B13" s="10" t="inlineStr">
        <is>
          <t>Log the day</t>
        </is>
      </c>
      <c r="C13" s="10" t="inlineStr">
        <is>
          <t>Fill in today's row in Daily Log; set next action dates in Lead Tracker.</t>
        </is>
      </c>
      <c r="D13" s="10" t="n">
        <v>10</v>
      </c>
      <c r="E13" s="10" t="inlineStr">
        <is>
          <t>All</t>
        </is>
      </c>
    </row>
    <row r="14">
      <c r="A14" s="10" t="inlineStr">
        <is>
          <t>Mon</t>
        </is>
      </c>
      <c r="B14" s="10" t="inlineStr">
        <is>
          <t>Weekly setup</t>
        </is>
      </c>
      <c r="C14" s="10" t="inlineStr">
        <is>
          <t>Join 2 new groups, set the week in Daily KPIs, plan 3 LinkedIn posts.</t>
        </is>
      </c>
      <c r="D14" s="10" t="n">
        <v>30</v>
      </c>
      <c r="E14" s="10" t="inlineStr">
        <is>
          <t>Weekly targets</t>
        </is>
      </c>
    </row>
    <row r="15">
      <c r="A15" s="10" t="inlineStr">
        <is>
          <t>Tue / Thu</t>
        </is>
      </c>
      <c r="B15" s="10" t="inlineStr">
        <is>
          <t>Post</t>
        </is>
      </c>
      <c r="C15" s="10" t="inlineStr">
        <is>
          <t>LinkedIn value post (demo before/after, a local business tip). Group post where allowed.</t>
        </is>
      </c>
      <c r="D15" s="10" t="n">
        <v>20</v>
      </c>
      <c r="E15" s="10" t="inlineStr">
        <is>
          <t>Weekly targets</t>
        </is>
      </c>
    </row>
    <row r="16">
      <c r="A16" s="10" t="inlineStr">
        <is>
          <t>Wed</t>
        </is>
      </c>
      <c r="B16" s="10" t="inlineStr">
        <is>
          <t>Network</t>
        </is>
      </c>
      <c r="C16" s="10" t="inlineStr">
        <is>
          <t>One networking event (chamber, BNI visit, Meetup), in person or online.</t>
        </is>
      </c>
      <c r="D16" s="10" t="n">
        <v>60</v>
      </c>
      <c r="E16" s="10" t="inlineStr">
        <is>
          <t>Partner convos</t>
        </is>
      </c>
    </row>
    <row r="17">
      <c r="A17" s="10" t="inlineStr">
        <is>
          <t>Fri</t>
        </is>
      </c>
      <c r="B17" s="10" t="inlineStr">
        <is>
          <t>Weekly review</t>
        </is>
      </c>
      <c r="C17" s="10" t="inlineStr">
        <is>
          <t>Run prompt A6 with this workbook attached. Change one thing for next week.</t>
        </is>
      </c>
      <c r="D17" s="10" t="n">
        <v>20</v>
      </c>
      <c r="E17" s="10"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80" customWidth="1" min="3" max="3"/>
    <col width="40" customWidth="1" min="4" max="4"/>
  </cols>
  <sheetData>
    <row r="1">
      <c r="A1" s="1" t="inlineStr">
        <is>
          <t>Targets &amp; Sources</t>
        </is>
      </c>
    </row>
    <row r="2">
      <c r="A2" s="2" t="inlineStr">
        <is>
          <t>Where to find people. Fill in the yellow cells once; the prompts reference them.</t>
        </is>
      </c>
    </row>
    <row r="3"/>
    <row r="4">
      <c r="A4" s="9" t="inlineStr">
        <is>
          <t>Channel</t>
        </is>
      </c>
      <c r="B4" s="9" t="inlineStr">
        <is>
          <t>What</t>
        </is>
      </c>
      <c r="C4" s="9" t="inlineStr">
        <is>
          <t>Use this</t>
        </is>
      </c>
      <c r="D4" s="9" t="inlineStr">
        <is>
          <t>Your value</t>
        </is>
      </c>
    </row>
    <row r="5">
      <c r="A5" s="10" t="inlineStr">
        <is>
          <t>All</t>
        </is>
      </c>
      <c r="B5" s="10" t="inlineStr">
        <is>
          <t>Target cities</t>
        </is>
      </c>
      <c r="C5" s="10" t="inlineStr">
        <is>
          <t>Start with 3–5 US metros where you already have clients or demos. Use the same cities in every channel.</t>
        </is>
      </c>
      <c r="D5" s="11" t="inlineStr">
        <is>
          <t>[e.g. Tampa FL, Dallas TX, Columbus OH]</t>
        </is>
      </c>
    </row>
    <row r="6">
      <c r="A6" s="10" t="inlineStr">
        <is>
          <t>All</t>
        </is>
      </c>
      <c r="B6" s="10" t="inlineStr">
        <is>
          <t>Target niches</t>
        </is>
      </c>
      <c r="C6" s="10" t="inlineStr">
        <is>
          <t>Beauty &amp; wellness, fitness, trades, auto, pet &amp; local services (your industry playbooks).</t>
        </is>
      </c>
      <c r="D6" s="11" t="inlineStr">
        <is>
          <t>[your top 3]</t>
        </is>
      </c>
    </row>
    <row r="7">
      <c r="A7" s="10" t="inlineStr">
        <is>
          <t>All</t>
        </is>
      </c>
      <c r="B7" s="10" t="inlineStr">
        <is>
          <t>Calendly link</t>
        </is>
      </c>
      <c r="C7" s="10" t="inlineStr">
        <is>
          <t>Used in every template.</t>
        </is>
      </c>
      <c r="D7" s="11" t="inlineStr">
        <is>
          <t>[paste link]</t>
        </is>
      </c>
    </row>
    <row r="8">
      <c r="A8" s="10" t="inlineStr">
        <is>
          <t>All</t>
        </is>
      </c>
      <c r="B8" s="10" t="inlineStr">
        <is>
          <t>Portfolio links</t>
        </is>
      </c>
      <c r="C8" s="10" t="inlineStr">
        <is>
          <t>Two best live sites (e.g. Elixa Beauty, MagniFit) for 'send info' replies.</t>
        </is>
      </c>
      <c r="D8" s="11" t="inlineStr">
        <is>
          <t>[paste 2 links]</t>
        </is>
      </c>
    </row>
    <row r="9">
      <c r="A9" s="10" t="inlineStr">
        <is>
          <t>LinkedIn</t>
        </is>
      </c>
      <c r="B9" s="10" t="inlineStr">
        <is>
          <t>People search: owners</t>
        </is>
      </c>
      <c r="C9" s="10" t="inlineStr">
        <is>
          <t>Titles: Owner, Founder, Co-owner · Company size 1–10 · Locations: your cities · Industries: personal care, wellness &amp; fitness, construction, automotive, restaurants, retail, pet services.</t>
        </is>
      </c>
      <c r="D9" s="11" t="inlineStr"/>
    </row>
    <row r="10">
      <c r="A10" s="10" t="inlineStr">
        <is>
          <t>LinkedIn</t>
        </is>
      </c>
      <c r="B10" s="10" t="inlineStr">
        <is>
          <t>People search: referral partners</t>
        </is>
      </c>
      <c r="C10" s="10" t="inlineStr">
        <is>
          <t>Bookkeepers, accountants, business coaches, photographers, print/sign shops, insurance agents, marketing freelancers who don't build sites — in your cities.</t>
        </is>
      </c>
      <c r="D10" s="11" t="inlineStr"/>
    </row>
    <row r="11">
      <c r="A11" s="10" t="inlineStr">
        <is>
          <t>LinkedIn</t>
        </is>
      </c>
      <c r="B11" s="10" t="inlineStr">
        <is>
          <t>Post search (buying signals)</t>
        </is>
      </c>
      <c r="C11" s="10" t="inlineStr">
        <is>
          <t>Posts, past 24 hours: "need a website", "looking for a web designer", "recommend a web designer", "website for my business", "anyone know a web developer".</t>
        </is>
      </c>
      <c r="D11" s="11" t="inlineStr"/>
    </row>
    <row r="12">
      <c r="A12" s="10" t="inlineStr">
        <is>
          <t>LinkedIn</t>
        </is>
      </c>
      <c r="B12" s="10" t="inlineStr">
        <is>
          <t>Communities</t>
        </is>
      </c>
      <c r="C12" s="10" t="inlineStr">
        <is>
          <t>Local chamber of commerce pages and events, city small-business groups, BNI chapters in your cities.</t>
        </is>
      </c>
      <c r="D12" s="11" t="inlineStr">
        <is>
          <t>[list the ones you join]</t>
        </is>
      </c>
    </row>
    <row r="13">
      <c r="A13" s="10" t="inlineStr">
        <is>
          <t>Facebook</t>
        </is>
      </c>
      <c r="B13" s="10" t="inlineStr">
        <is>
          <t>Groups to find</t>
        </is>
      </c>
      <c r="C13" s="10" t="inlineStr">
        <is>
          <t>Search: "[City] small business", "[City] business owners", "[City] entrepreneurs", "[City] moms" (lots of recommendation requests), "salon owners", "barbershop owners", "contractors business", "[niche] business owners USA".</t>
        </is>
      </c>
      <c r="D13" s="11" t="inlineStr"/>
    </row>
    <row r="14">
      <c r="A14" s="10" t="inlineStr">
        <is>
          <t>Facebook</t>
        </is>
      </c>
      <c r="B14" s="10" t="inlineStr">
        <is>
          <t>Your groups (links)</t>
        </is>
      </c>
      <c r="C14" s="10" t="inlineStr">
        <is>
          <t>Paste the 10–20 groups you joined. Note which allow service posts.</t>
        </is>
      </c>
      <c r="D14" s="11" t="inlineStr">
        <is>
          <t>[paste group links]</t>
        </is>
      </c>
    </row>
    <row r="15">
      <c r="A15" s="10" t="inlineStr">
        <is>
          <t>Facebook</t>
        </is>
      </c>
      <c r="B15" s="10" t="inlineStr">
        <is>
          <t>Keywords inside groups</t>
        </is>
      </c>
      <c r="C15" s="10" t="inlineStr">
        <is>
          <t>website · web designer · web developer · recommend · anyone know · need a site · Wix · Squarespace</t>
        </is>
      </c>
      <c r="D15" s="11" t="inlineStr"/>
    </row>
    <row r="16">
      <c r="A16" s="10" t="inlineStr">
        <is>
          <t>Reddit</t>
        </is>
      </c>
      <c r="B16" s="10" t="inlineStr">
        <is>
          <t>F5Bot keywords (f5bot.com, free)</t>
        </is>
      </c>
      <c r="C16" s="10" t="inlineStr">
        <is>
          <t>"need a website" · "looking for a web designer" · "recommend a web designer" · "website for my business" · "build me a website" · "hire a web designer" · "small business website"</t>
        </is>
      </c>
      <c r="D16" s="11" t="inlineStr">
        <is>
          <t>[alerts go to scarwhitthread@outlook.com]</t>
        </is>
      </c>
    </row>
    <row r="17">
      <c r="A17" s="10" t="inlineStr">
        <is>
          <t>Reddit</t>
        </is>
      </c>
      <c r="B17" s="10" t="inlineStr">
        <is>
          <t>Subreddits to watch</t>
        </is>
      </c>
      <c r="C17" s="10" t="inlineStr">
        <is>
          <t>r/smallbusiness · r/Entrepreneur · r/forhire · r/hiring · r/sweatystartup · r/web_design · your target cities' subreddits. Read each one's self-promotion rules.</t>
        </is>
      </c>
      <c r="D17" s="11" t="inlineStr"/>
    </row>
    <row r="18">
      <c r="A18" s="10" t="inlineStr">
        <is>
          <t>Email</t>
        </is>
      </c>
      <c r="B18" s="10" t="inlineStr">
        <is>
          <t>Who to email</t>
        </is>
      </c>
      <c r="C18" s="10" t="inlineStr">
        <is>
          <t>Businesses whose website is weak (slow, no mobile layout, no booking) and that list an email on the site or Google profile. Businesses with no website rarely list an email; they go to the setters' call list instead.</t>
        </is>
      </c>
      <c r="D18" s="11" t="inlineStr"/>
    </row>
    <row r="19">
      <c r="A19" s="10" t="inlineStr">
        <is>
          <t>Email</t>
        </is>
      </c>
      <c r="B19" s="10" t="inlineStr">
        <is>
          <t>Sending setup</t>
        </is>
      </c>
      <c r="C19" s="10" t="inlineStr">
        <is>
          <t>A separate domain (e.g. getvanguard[.]co) with 2 inboxes, SPF/DKIM/DMARC set, 2–3 weeks warm-up. Send from GHL with a dedicated sending domain, or a cold-email tool such as Instantly or Smartlead.</t>
        </is>
      </c>
      <c r="D19" s="11" t="inlineStr">
        <is>
          <t>[your sending domain]</t>
        </is>
      </c>
    </row>
    <row r="20">
      <c r="A20" s="10" t="inlineStr">
        <is>
          <t>Network</t>
        </is>
      </c>
      <c r="B20" s="10" t="inlineStr">
        <is>
          <t>In person / online</t>
        </is>
      </c>
      <c r="C20" s="10" t="inlineStr">
        <is>
          <t>Chamber of commerce mixers, BNI visitor days, Meetup small-business events, SCORE workshops in your cities.</t>
        </is>
      </c>
      <c r="D20" s="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18" customWidth="1" min="3" max="3"/>
    <col width="34" customWidth="1" min="4" max="4"/>
    <col width="26" customWidth="1" min="5" max="5"/>
    <col width="120" customWidth="1" min="6" max="6"/>
  </cols>
  <sheetData>
    <row r="1">
      <c r="A1" s="1" t="inlineStr">
        <is>
          <t>Automations</t>
        </is>
      </c>
    </row>
    <row r="2">
      <c r="A2" s="2" t="inlineStr">
        <is>
          <t>The daily jobs. Claude finds, reads, sorts and drafts; you approve and send. Full prompt text is in column F (also in agency/OUTREACH_PROMPTS.md).</t>
        </is>
      </c>
    </row>
    <row r="3"/>
    <row r="4">
      <c r="A4" s="9" t="inlineStr">
        <is>
          <t>ID</t>
        </is>
      </c>
      <c r="B4" s="9" t="inlineStr">
        <is>
          <t>Job</t>
        </is>
      </c>
      <c r="C4" s="9" t="inlineStr">
        <is>
          <t>When</t>
        </is>
      </c>
      <c r="D4" s="9" t="inlineStr">
        <is>
          <t>Where it runs</t>
        </is>
      </c>
      <c r="E4" s="9" t="inlineStr">
        <is>
          <t>Status</t>
        </is>
      </c>
      <c r="F4" s="9" t="inlineStr">
        <is>
          <t>Prompt (copy all of it)</t>
        </is>
      </c>
    </row>
    <row r="5" ht="299" customHeight="1">
      <c r="A5" s="10" t="inlineStr">
        <is>
          <t>A1</t>
        </is>
      </c>
      <c r="B5" s="10" t="inlineStr">
        <is>
          <t>Reddit leads digest (F5Bot → Outlook)</t>
        </is>
      </c>
      <c r="C5" s="10" t="inlineStr">
        <is>
          <t>Daily, 7:45am</t>
        </is>
      </c>
      <c r="D5" s="10" t="inlineStr">
        <is>
          <t>Claude Code scheduled task (cloud) with the Outlook (Mailbox) connector</t>
        </is>
      </c>
      <c r="E5" s="10" t="inlineStr">
        <is>
          <t>Ready to schedule — needs your time zone</t>
        </is>
      </c>
      <c r="F5" s="10" t="inlineStr">
        <is>
          <t>You are my lead scout for Vanguard, a web studio that builds websites for US local businesses (about $1,000 one-time, live within 14 days of kick-off, free demo first).
1. Using the Outlook (Mailbox) connector, make ONE search_emails call: from "f5bot", since yesterday's date, limit 25. The mailbox is on a free plan of 5 calls per day, so use at most 3 more calls in total (read_email only when a preview has no post link). Never send, move or delete email.
2. From the alerts, collect every Reddit post or comment URL.
3. For each URL, fetch the post (try the URL with ".json" on the end, or old.reddit.com). Skip anything older than 72 hours, locked, or already answered by a hired designer.
4. Score each one 1–5 for buying intent: 5 = a business owner asking to hire someone to build a website now; 3 = asking for recommendations or prices; 1 = a developer, student, job seeker or general discussion.
5. For every post scoring 3+, draft a reply that leads with 2–3 genuinely useful tips for their situation, then one line: "If you want it done for you, I run a small web studio (Vanguard) and can mock up a free demo so you can judge it first." Check the subreddit's rules in the sidebar: if self-promotion is banned, draft a tips-only reply and say so.
6. Output a digest table, best first: score, subreddit, post title, link, age, what they need (one line), drafted reply. End with: "Post replies yourself after checking each thread."
Do not post anything to Reddit.</t>
        </is>
      </c>
    </row>
    <row r="6" ht="409" customHeight="1">
      <c r="A6" s="10" t="inlineStr">
        <is>
          <t>A2</t>
        </is>
      </c>
      <c r="B6" s="10" t="inlineStr">
        <is>
          <t>LinkedIn inbox triage</t>
        </is>
      </c>
      <c r="C6" s="10" t="inlineStr">
        <is>
          <t>Daily, 8:15am and 4:30pm</t>
        </is>
      </c>
      <c r="D6" s="10" t="inlineStr">
        <is>
          <t>Claude in Chrome on your computer (logged into LinkedIn)</t>
        </is>
      </c>
      <c r="E6" s="10" t="inlineStr">
        <is>
          <t>Paste into Claude in Chrome and set to repeat daily</t>
        </is>
      </c>
      <c r="F6" s="10" t="inlineStr">
        <is>
          <t>Open https://www.linkedin.com/messaging/ in a new tab. I run Vanguard, a web studio that builds websites for US local businesses (about $1,000 one-time, live within 14 days of kick-off, free demo first).
1. Open every conversation that is unread, or where the other person wrote last in the past 7 days.
2. For each one, classify the reply:
Reply types (pick one per conversation):
Interested · Price question · Send info · Wants demo · Not now · Has a website · Referral · Partner · Not interested · Opt-out · Auto-reply · Wrong person · Booked · Who are you
3. Draft my reply using the matching template from the Reply Playbook below, personalised with one detail from their message or profile. Keep it under 80 words, warm, no hard sell. If they want a demo, ask for their business name and any Google/Facebook/Instagram page.
4. Also check My Network → Invitations (list them, do not accept or decline) and Notifications for comments on my posts that need an answer.
5. Output a table: name, company, reply type, their last message (one line), my drafted reply, next stage, follow-up date.
Reply Playbook:
- Price question → "Fair question. It depends on what you need, but most of our builds land around $1,000, one-time, and the demo is free. Want me to put one together so you can see what you'd get?"
- Send info → share two portfolio links and offer a free demo for their business.
- Wants demo → ask for business name + any page; promise the demo within 48 hours, then book a 15-min walkthrough: [Calendly link].
- Not now → ask when to check back; set the follow-up date.
- Has a website → offer a free 3-point review, no pressure.
- Referral → thank them and ask for an intro.
- Not interested / Opt-out → one polite line, then mark Do-Not-Contact.
Rules: never send, post, comment, connect, accept or decline anything without my approval in this chat. Never invent facts about a prospect or about Vanguard. Prices: only the ballpark "most of our builds land around $1,000, one-time; the demo is free". Anyone who says stop / not interested / remove me goes on the Do-Not-Contact list and gets no further outreach.</t>
        </is>
      </c>
    </row>
    <row r="7" ht="364" customHeight="1">
      <c r="A7" s="10" t="inlineStr">
        <is>
          <t>A3</t>
        </is>
      </c>
      <c r="B7" s="10" t="inlineStr">
        <is>
          <t>LinkedIn prospect finder</t>
        </is>
      </c>
      <c r="C7" s="10" t="inlineStr">
        <is>
          <t>Weekdays, 9:15am</t>
        </is>
      </c>
      <c r="D7" s="10" t="inlineStr">
        <is>
          <t>Claude in Chrome on your computer</t>
        </is>
      </c>
      <c r="E7" s="10" t="inlineStr">
        <is>
          <t>Paste into Claude in Chrome and set to repeat on weekdays</t>
        </is>
      </c>
      <c r="F7" s="10" t="inlineStr">
        <is>
          <t>Find today's LinkedIn prospects for Vanguard (websites for US local businesses). Do not send any connection requests or messages.
Part A — buying signals (do first):
Search LinkedIn posts from the past 24 hours (Posts filter, sort by latest) for each of: "need a website", "looking for a web designer", "recommend a web designer", "website for my business", "anyone know a web developer". List posts by business owners or people asking on behalf of one. For each: author, link, what they need, and a drafted comment (helpful, mentions I can mock up a free demo) plus a drafted DM.
Part B — owners and referral partners (up to 15 people in total):
Search People with: titles Owner / Founder / Co-owner; company size 1–10; locations from my target list [CITIES]; industries: personal care, wellness and fitness, construction, automotive, restaurants, retail, pet services. Also find up to 5 referral partners in the same cities: bookkeepers, accountants, business coaches, photographers, print/sign shops, marketing freelancers who don't build websites.
Skip anyone I'm already connected with or have a pending invite to.
For each person: name, title, business, city, profile link, whether their business has a website (check the company page or a quick Google search), and one personalised first message to send after they accept (under 60 words, mentions one real detail, offers a free demo for owners or a referral swap for partners).
Output: two tables (A and B), ready for me to action. Rules: never send, post, comment, connect, accept or decline anything without my approval in this chat. Never invent facts about a prospect or about Vanguard. Prices: only the ballpark "most of our builds land around $1,000, one-time; the demo is free". Anyone who says stop / not interested / remove me goes on the Do-Not-Contact list and gets no further outreach.</t>
        </is>
      </c>
    </row>
    <row r="8" ht="377" customHeight="1">
      <c r="A8" s="10" t="inlineStr">
        <is>
          <t>A4</t>
        </is>
      </c>
      <c r="B8" s="10" t="inlineStr">
        <is>
          <t>Facebook groups &amp; Messenger sweep</t>
        </is>
      </c>
      <c r="C8" s="10" t="inlineStr">
        <is>
          <t>Daily, 10:00am</t>
        </is>
      </c>
      <c r="D8" s="10" t="inlineStr">
        <is>
          <t>Claude in Chrome on your computer (logged into Facebook)</t>
        </is>
      </c>
      <c r="E8" s="10" t="inlineStr">
        <is>
          <t>Paste into Claude in Chrome and set to repeat daily</t>
        </is>
      </c>
      <c r="F8" s="10" t="inlineStr">
        <is>
          <t>Do my Facebook sweep for Vanguard (websites for US local businesses, about $1,000 one-time, free demo first). Do not post, comment, react, add friends or message anyone.
1. Messenger: open https://www.facebook.com/messages/ including Message Requests. For each unread thread or one where they wrote last, classify the reply:
Reply types (pick one per conversation):
Interested · Price question · Send info · Wants demo · Not now · Has a website · Referral · Partner · Not interested · Opt-out · Auto-reply · Wrong person · Booked · Who are you
and draft my response (under 80 words, uses the Reply Playbook in my spreadsheet: ballpark price only, offer the free demo, book with [Calendly link]).
2. Groups: open each group in my list [GROUP LINKS]. In each, search for posts from the last 48 hours containing: website, web designer, web developer, recommend, anyone know, need a site. Read the group rules once and note whether service offers are allowed.
3. For each post where someone needs a website or asks for a recommendation: group, author, link, what they need, a drafted public comment (helpful, says who I am, offers a free demo) and a drafted follow-up DM. Only draft a DM where they asked publicly or invited DMs.
4. List up to 10 other posts by local business owners where a genuinely helpful comment would fit (questions about getting more customers, Google reviews, booking, marketing), with a drafted comment that gives value and does not pitch.
Output three tables: Messenger replies, Website requests, Value comments. Rules: never send, post, comment, connect, accept or decline anything without my approval in this chat. Never invent facts about a prospect or about Vanguard. Prices: only the ballpark "most of our builds land around $1,000, one-time; the demo is free". Anyone who says stop / not interested / remove me goes on the Do-Not-Contact list and gets no further outreach.</t>
        </is>
      </c>
    </row>
    <row r="9" ht="299" customHeight="1">
      <c r="A9" s="10" t="inlineStr">
        <is>
          <t>A5</t>
        </is>
      </c>
      <c r="B9" s="10" t="inlineStr">
        <is>
          <t>Cold email replies sweep</t>
        </is>
      </c>
      <c r="C9" s="10" t="inlineStr">
        <is>
          <t>Daily, 8:30am and 4:30pm</t>
        </is>
      </c>
      <c r="D9" s="10" t="inlineStr">
        <is>
          <t>Claude in Chrome on your computer (GoHighLevel Conversations, or your cold-email tool's unified inbox)</t>
        </is>
      </c>
      <c r="E9" s="10" t="inlineStr">
        <is>
          <t>Paste into Claude in Chrome once your sending tool is live</t>
        </is>
      </c>
      <c r="F9" s="10" t="inlineStr">
        <is>
          <t>Open my cold-email inbox ([GHL Conversations URL or cold-email tool unibox URL]) in a new tab. Look at every reply received since the last sweep.
1. Classify each reply:
Reply types (pick one per conversation):
Interested · Price question · Send info · Wants demo · Not now · Has a website · Referral · Partner · Not interested · Opt-out · Auto-reply · Wrong person · Booked · Who are you
2. Draft my reply for each (under 80 words) using the Reply Playbook: ballpark price only, demo link + Calendly link for interested replies, polite one-liner for no.
3. Opt-outs ("stop", "remove me", "unsubscribe", angry replies): do not draft a reply; list them so I can add them to the suppression list today.
4. Auto-replies: note the return date as the next follow-up date.
5. Output a table: sender, business, reply type, one-line summary, drafted reply, next stage, follow-up date. Also report today's numbers if the tool shows them: sent, opens if tracked, replies, bounces.
Rules: never send, post, comment, connect, accept or decline anything without my approval in this chat. Never invent facts about a prospect or about Vanguard. Prices: only the ballpark "most of our builds land around $1,000, one-time; the demo is free". Anyone who says stop / not interested / remove me goes on the Do-Not-Contact list and gets no further outreach.</t>
        </is>
      </c>
    </row>
    <row r="10" ht="169" customHeight="1">
      <c r="A10" s="10" t="inlineStr">
        <is>
          <t>A6</t>
        </is>
      </c>
      <c r="B10" s="10" t="inlineStr">
        <is>
          <t>Weekly review</t>
        </is>
      </c>
      <c r="C10" s="10" t="inlineStr">
        <is>
          <t>Fridays, 4:00pm</t>
        </is>
      </c>
      <c r="D10" s="10" t="inlineStr">
        <is>
          <t>Any Claude chat — attach this workbook</t>
        </is>
      </c>
      <c r="E10" s="10" t="inlineStr">
        <is>
          <t>Run manually each Friday</t>
        </is>
      </c>
      <c r="F10" s="10" t="inlineStr">
        <is>
          <t>Attached is my Vanguard outreach workbook. Review this week:
1. From 'Daily Log', total each activity for this week and compare with 'Daily KPIs' targets. Which channels and days fell short?
2. From 'Lead Tracker', count leads by stage and by channel, list every OVERDUE follow-up, and list conversations that went quiet for 5+ days.
3. Compare actual conversion rates (conversations per touch, calls per conversation) with the planning assumptions in 'Funnel Math'. Say which assumptions to change and to what.
4. Give me the 3 changes for next week that would most likely add booked calls, ranked, and anything I should stop doing.
Keep it under 300 words plus the tables.</t>
        </is>
      </c>
    </row>
    <row r="11" ht="39" customHeight="1">
      <c r="A11" s="10" t="inlineStr">
        <is>
          <t>A7</t>
        </is>
      </c>
      <c r="B11" s="10" t="inlineStr">
        <is>
          <t>Cold email sending</t>
        </is>
      </c>
      <c r="C11" s="10" t="inlineStr">
        <is>
          <t>Weekdays, continuous</t>
        </is>
      </c>
      <c r="D11" s="10" t="inlineStr">
        <is>
          <t>Your sending tool (GHL workflow or Instantly/Smartlead)</t>
        </is>
      </c>
      <c r="E11" s="10" t="inlineStr">
        <is>
          <t>Set up after warm-up</t>
        </is>
      </c>
      <c r="F11" s="10" t="inlineStr">
        <is>
          <t>Not a Claude prompt. Load the EM-01 → EM-04 sequence, 20–25 sends per inbox per day, stop on reply, suppression list on.</t>
        </is>
      </c>
    </row>
    <row r="12" ht="26" customHeight="1">
      <c r="A12" s="10" t="inlineStr">
        <is>
          <t>A8</t>
        </is>
      </c>
      <c r="B12" s="10" t="inlineStr">
        <is>
          <t>Follow-up reminders</t>
        </is>
      </c>
      <c r="C12" s="10" t="inlineStr">
        <is>
          <t>Daily</t>
        </is>
      </c>
      <c r="D12" s="10" t="inlineStr">
        <is>
          <t>Lead Tracker 'Overdue?' column, or GHL tasks</t>
        </is>
      </c>
      <c r="E12" s="10" t="inlineStr">
        <is>
          <t>Ready</t>
        </is>
      </c>
      <c r="F12" s="10" t="inlineStr">
        <is>
          <t>Filter Lead Tracker by Overdue? = OVERDUE each morning, or create a GHL task for each next action date.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12" customWidth="1" min="1" max="1"/>
    <col width="80" customWidth="1" min="2" max="2"/>
    <col width="60" customWidth="1" min="3" max="3"/>
  </cols>
  <sheetData>
    <row r="1">
      <c r="A1" s="1" t="inlineStr">
        <is>
          <t>Rules &amp; Limits</t>
        </is>
      </c>
    </row>
    <row r="2">
      <c r="A2" s="2" t="inlineStr">
        <is>
          <t>Keep the accounts and the business safe. Limits change; when a platform warns you, slow down.</t>
        </is>
      </c>
    </row>
    <row r="3"/>
    <row r="4">
      <c r="A4" s="9" t="inlineStr">
        <is>
          <t>Channel</t>
        </is>
      </c>
      <c r="B4" s="9" t="inlineStr">
        <is>
          <t>Rule</t>
        </is>
      </c>
      <c r="C4" s="9" t="inlineStr">
        <is>
          <t>Why</t>
        </is>
      </c>
    </row>
    <row r="5">
      <c r="A5" s="10" t="inlineStr">
        <is>
          <t>LinkedIn</t>
        </is>
      </c>
      <c r="B5" s="10" t="inlineStr">
        <is>
          <t>No bots or tools that auto-send, auto-connect or scrape. Claude drafts; you send.</t>
        </is>
      </c>
      <c r="C5" s="10" t="inlineStr">
        <is>
          <t>LinkedIn's User Agreement bans automated activity; accounts get restricted.</t>
        </is>
      </c>
    </row>
    <row r="6">
      <c r="A6" s="10" t="inlineStr">
        <is>
          <t>LinkedIn</t>
        </is>
      </c>
      <c r="B6" s="10" t="inlineStr">
        <is>
          <t>Stay at or under about 75 connection requests a week; withdraw invites pending 3+ weeks.</t>
        </is>
      </c>
      <c r="C6" s="10" t="inlineStr">
        <is>
          <t>LinkedIn caps weekly invitations (commonly around 100) and watches acceptance rates.</t>
        </is>
      </c>
    </row>
    <row r="7">
      <c r="A7" s="10" t="inlineStr">
        <is>
          <t>Facebook</t>
        </is>
      </c>
      <c r="B7" s="10" t="inlineStr">
        <is>
          <t>Read each group's rules before posting. Never mass-DM group members; only DM people who asked or engaged.</t>
        </is>
      </c>
      <c r="C7" s="10" t="inlineStr">
        <is>
          <t>Groups remove members for spam; Facebook limits accounts that send many messages to strangers.</t>
        </is>
      </c>
    </row>
    <row r="8">
      <c r="A8" s="10" t="inlineStr">
        <is>
          <t>Facebook</t>
        </is>
      </c>
      <c r="B8" s="10" t="inlineStr">
        <is>
          <t>Don't paste the same comment or DM word-for-word many times a day.</t>
        </is>
      </c>
      <c r="C8" s="10" t="inlineStr">
        <is>
          <t>Repeated identical text is a spam signal.</t>
        </is>
      </c>
    </row>
    <row r="9">
      <c r="A9" s="10" t="inlineStr">
        <is>
          <t>Email</t>
        </is>
      </c>
      <c r="B9" s="10" t="inlineStr">
        <is>
          <t>Include your real name, Vanguard, a physical mailing address and a working opt-out in every email; honour opt-outs fast; no misleading subjects.</t>
        </is>
      </c>
      <c r="C9" s="10" t="inlineStr">
        <is>
          <t>US CAN-SPAM Act.</t>
        </is>
      </c>
    </row>
    <row r="10">
      <c r="A10" s="10" t="inlineStr">
        <is>
          <t>Email</t>
        </is>
      </c>
      <c r="B10" s="10" t="inlineStr">
        <is>
          <t>Use a separate sending domain with SPF, DKIM and DMARC; warm up 2–3 weeks; 20–25 sends per inbox per day; verify addresses; keep bounces under 3%.</t>
        </is>
      </c>
      <c r="C10" s="10" t="inlineStr">
        <is>
          <t>Protects your main domain's deliverability.</t>
        </is>
      </c>
    </row>
    <row r="11">
      <c r="A11" s="10" t="inlineStr">
        <is>
          <t>Reddit</t>
        </is>
      </c>
      <c r="B11" s="10" t="inlineStr">
        <is>
          <t>Follow each subreddit's rules, disclose that you run Vanguard, lead with useful advice, and keep self-promotion a small part of your activity.</t>
        </is>
      </c>
      <c r="C11" s="10" t="inlineStr">
        <is>
          <t>Reddit and moderators ban accounts for spam.</t>
        </is>
      </c>
    </row>
    <row r="12">
      <c r="A12" s="10" t="inlineStr">
        <is>
          <t>Calls / SMS</t>
        </is>
      </c>
      <c r="B12" s="10" t="inlineStr">
        <is>
          <t>Same rules as the setters: DNC scrub, 8am–9pm their time, texts only with verbal consent.</t>
        </is>
      </c>
      <c r="C12" s="10" t="inlineStr">
        <is>
          <t>TCPA and state telemarketing rules.</t>
        </is>
      </c>
    </row>
    <row r="13">
      <c r="A13" s="10" t="inlineStr">
        <is>
          <t>All</t>
        </is>
      </c>
      <c r="B13" s="10" t="inlineStr">
        <is>
          <t>Never invent facts about a prospect or about Vanguard. Only the price ballpark; never exact quotes, discounts or payment plans in DMs.</t>
        </is>
      </c>
      <c r="C13" s="10" t="inlineStr">
        <is>
          <t>Honesty is the brand; and it matches the setter script.</t>
        </is>
      </c>
    </row>
    <row r="14">
      <c r="A14" s="10" t="inlineStr">
        <is>
          <t>All</t>
        </is>
      </c>
      <c r="B14" s="10" t="inlineStr">
        <is>
          <t>Keep one Do-Not-Contact list across all channels. Add people the same day they ask.</t>
        </is>
      </c>
      <c r="C14" s="10" t="inlineStr">
        <is>
          <t>Respect and compliance.</t>
        </is>
      </c>
    </row>
    <row r="15">
      <c r="A15" s="10" t="inlineStr">
        <is>
          <t>Outlook connector</t>
        </is>
      </c>
      <c r="B15" s="10" t="inlineStr">
        <is>
          <t>The Mailbox connector's free plan allows 5 calls a day; job A1 is written to use 4.</t>
        </is>
      </c>
      <c r="C15" s="10" t="inlineStr">
        <is>
          <t>If you add more email jobs, upgrade the connector.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5" t="inlineStr">
        <is>
          <t>Stages</t>
        </is>
      </c>
      <c r="B1" s="5" t="inlineStr">
        <is>
          <t>Reply types</t>
        </is>
      </c>
      <c r="C1" s="5" t="inlineStr">
        <is>
          <t>Channels</t>
        </is>
      </c>
    </row>
    <row r="2">
      <c r="A2" s="33" t="inlineStr">
        <is>
          <t>New</t>
        </is>
      </c>
      <c r="B2" s="33" t="inlineStr">
        <is>
          <t>Interested</t>
        </is>
      </c>
      <c r="C2" s="33" t="inlineStr">
        <is>
          <t>LinkedIn</t>
        </is>
      </c>
    </row>
    <row r="3">
      <c r="A3" s="33" t="inlineStr">
        <is>
          <t>Contacted</t>
        </is>
      </c>
      <c r="B3" s="33" t="inlineStr">
        <is>
          <t>Price question</t>
        </is>
      </c>
      <c r="C3" s="33" t="inlineStr">
        <is>
          <t>Facebook</t>
        </is>
      </c>
    </row>
    <row r="4">
      <c r="A4" s="33" t="inlineStr">
        <is>
          <t>Connected</t>
        </is>
      </c>
      <c r="B4" s="33" t="inlineStr">
        <is>
          <t>Send info</t>
        </is>
      </c>
      <c r="C4" s="33" t="inlineStr">
        <is>
          <t>Email</t>
        </is>
      </c>
    </row>
    <row r="5">
      <c r="A5" s="33" t="inlineStr">
        <is>
          <t>Conversation</t>
        </is>
      </c>
      <c r="B5" s="33" t="inlineStr">
        <is>
          <t>Wants demo</t>
        </is>
      </c>
      <c r="C5" s="33" t="inlineStr">
        <is>
          <t>Reddit</t>
        </is>
      </c>
    </row>
    <row r="6">
      <c r="A6" s="33" t="inlineStr">
        <is>
          <t>Demo building</t>
        </is>
      </c>
      <c r="B6" s="33" t="inlineStr">
        <is>
          <t>Not now</t>
        </is>
      </c>
      <c r="C6" s="33" t="inlineStr">
        <is>
          <t>Referral</t>
        </is>
      </c>
    </row>
    <row r="7">
      <c r="A7" s="33" t="inlineStr">
        <is>
          <t>Demo sent</t>
        </is>
      </c>
      <c r="B7" s="33" t="inlineStr">
        <is>
          <t>Has a website</t>
        </is>
      </c>
      <c r="C7" s="33" t="inlineStr">
        <is>
          <t>Event</t>
        </is>
      </c>
    </row>
    <row r="8">
      <c r="A8" s="33" t="inlineStr">
        <is>
          <t>Call booked</t>
        </is>
      </c>
      <c r="B8" s="33" t="inlineStr">
        <is>
          <t>Referral</t>
        </is>
      </c>
      <c r="C8" s="33" t="inlineStr">
        <is>
          <t>Other</t>
        </is>
      </c>
    </row>
    <row r="9">
      <c r="A9" s="33" t="inlineStr">
        <is>
          <t>Showed</t>
        </is>
      </c>
      <c r="B9" s="33" t="inlineStr">
        <is>
          <t>Partner</t>
        </is>
      </c>
    </row>
    <row r="10">
      <c r="A10" s="33" t="inlineStr">
        <is>
          <t>Won</t>
        </is>
      </c>
      <c r="B10" s="33" t="inlineStr">
        <is>
          <t>Not interested</t>
        </is>
      </c>
    </row>
    <row r="11">
      <c r="A11" s="33" t="inlineStr">
        <is>
          <t>Nurture</t>
        </is>
      </c>
      <c r="B11" s="33" t="inlineStr">
        <is>
          <t>Opt-out</t>
        </is>
      </c>
    </row>
    <row r="12">
      <c r="A12" s="33" t="inlineStr">
        <is>
          <t>Lost</t>
        </is>
      </c>
      <c r="B12" s="33" t="inlineStr">
        <is>
          <t>Auto-reply</t>
        </is>
      </c>
    </row>
    <row r="13">
      <c r="A13" s="33" t="inlineStr">
        <is>
          <t>Do not contact</t>
        </is>
      </c>
      <c r="B13" s="33" t="inlineStr">
        <is>
          <t>Wrong person</t>
        </is>
      </c>
    </row>
    <row r="14">
      <c r="B14" s="33" t="inlineStr">
        <is>
          <t>Booked</t>
        </is>
      </c>
    </row>
    <row r="15">
      <c r="B15" s="33" t="inlineStr">
        <is>
          <t>Who are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2026-10-21T14:35:55Z</dcterms:created>
  <dcterms:modified xsi:type="dcterms:W3CDTF">2026-10-21T14:35:55Z</dcterms:modified>
</cp:coreProperties>
</file>